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Aug 25" sheetId="2" r:id="rId6"/>
    <sheet state="visible" name="Jan 26" sheetId="3" r:id="rId7"/>
    <sheet state="visible" name="Sheet7" sheetId="4" r:id="rId8"/>
    <sheet state="visible" name="Sheet3" sheetId="5" r:id="rId9"/>
  </sheets>
  <definedNames/>
  <calcPr/>
</workbook>
</file>

<file path=xl/sharedStrings.xml><?xml version="1.0" encoding="utf-8"?>
<sst xmlns="http://schemas.openxmlformats.org/spreadsheetml/2006/main" count="2126" uniqueCount="897">
  <si>
    <t xml:space="preserve">Ongoing Month </t>
  </si>
  <si>
    <t xml:space="preserve">January </t>
  </si>
  <si>
    <t>Name of Students</t>
  </si>
  <si>
    <t>December Salary</t>
  </si>
  <si>
    <t>Ayaan</t>
  </si>
  <si>
    <t xml:space="preserve">Dayoff </t>
  </si>
  <si>
    <t>Labib</t>
  </si>
  <si>
    <t>roomrent</t>
  </si>
  <si>
    <t>Sami'27</t>
  </si>
  <si>
    <t>teheri</t>
  </si>
  <si>
    <t>Raisa</t>
  </si>
  <si>
    <t xml:space="preserve">juice, biscuits </t>
  </si>
  <si>
    <t>Raisa'23</t>
  </si>
  <si>
    <t>remaining i took</t>
  </si>
  <si>
    <t>Raisa'26</t>
  </si>
  <si>
    <t>gave to bank</t>
  </si>
  <si>
    <t>Raisa'31</t>
  </si>
  <si>
    <t>Raisa'04</t>
  </si>
  <si>
    <t>IUB bhara</t>
  </si>
  <si>
    <t>BANK</t>
  </si>
  <si>
    <t>Income</t>
  </si>
  <si>
    <t>Bank remain</t>
  </si>
  <si>
    <t>Ammu(home)</t>
  </si>
  <si>
    <t>Ammu (p.money)</t>
  </si>
  <si>
    <t>Shomity</t>
  </si>
  <si>
    <t>8000p</t>
  </si>
  <si>
    <t xml:space="preserve">Raisa recharge </t>
  </si>
  <si>
    <t xml:space="preserve">Raisa return </t>
  </si>
  <si>
    <t>Raisa bag</t>
  </si>
  <si>
    <t xml:space="preserve">Raisa medicine </t>
  </si>
  <si>
    <t xml:space="preserve">Raisa bangles </t>
  </si>
  <si>
    <t xml:space="preserve">Raisa pasta </t>
  </si>
  <si>
    <t>Dayoff</t>
  </si>
  <si>
    <t xml:space="preserve">Raisa jamjam playground </t>
  </si>
  <si>
    <t>moin</t>
  </si>
  <si>
    <t>moin bkash</t>
  </si>
  <si>
    <t>moin DU doc</t>
  </si>
  <si>
    <t xml:space="preserve">moin passport </t>
  </si>
  <si>
    <t xml:space="preserve">moin </t>
  </si>
  <si>
    <t>moin ICCB</t>
  </si>
  <si>
    <t>Arif bhai loan</t>
  </si>
  <si>
    <t>Ammu</t>
  </si>
  <si>
    <t xml:space="preserve">phone recharge </t>
  </si>
  <si>
    <t xml:space="preserve">phone Charger </t>
  </si>
  <si>
    <t xml:space="preserve">Multiplug </t>
  </si>
  <si>
    <t xml:space="preserve">cleaner </t>
  </si>
  <si>
    <t xml:space="preserve">Transport </t>
  </si>
  <si>
    <t xml:space="preserve">university </t>
  </si>
  <si>
    <t>12000p</t>
  </si>
  <si>
    <t>Remains</t>
  </si>
  <si>
    <t>raisa</t>
  </si>
  <si>
    <t xml:space="preserve">February </t>
  </si>
  <si>
    <t>January Salary</t>
  </si>
  <si>
    <t xml:space="preserve">Started </t>
  </si>
  <si>
    <t xml:space="preserve">Payment </t>
  </si>
  <si>
    <t>Farhan</t>
  </si>
  <si>
    <t>07.01/05.02</t>
  </si>
  <si>
    <t>11.02.25</t>
  </si>
  <si>
    <t>oct</t>
  </si>
  <si>
    <t>Rent</t>
  </si>
  <si>
    <t>02.01/02.02</t>
  </si>
  <si>
    <t>05.02.25</t>
  </si>
  <si>
    <t>nov</t>
  </si>
  <si>
    <t>food</t>
  </si>
  <si>
    <t>Faiyaz</t>
  </si>
  <si>
    <t>30.01.25</t>
  </si>
  <si>
    <t>dec</t>
  </si>
  <si>
    <t>within 15 January</t>
  </si>
  <si>
    <t xml:space="preserve">juice </t>
  </si>
  <si>
    <t>Sakib</t>
  </si>
  <si>
    <t>12.02.25</t>
  </si>
  <si>
    <t>Feb</t>
  </si>
  <si>
    <t>porota</t>
  </si>
  <si>
    <t>jan</t>
  </si>
  <si>
    <t xml:space="preserve">water </t>
  </si>
  <si>
    <t>17.01.25</t>
  </si>
  <si>
    <t>re-admission</t>
  </si>
  <si>
    <t>Shanto</t>
  </si>
  <si>
    <t>31.01.25</t>
  </si>
  <si>
    <t>04.02.25</t>
  </si>
  <si>
    <t>PAYMENT</t>
  </si>
  <si>
    <t>Summum</t>
  </si>
  <si>
    <t>Ruthba</t>
  </si>
  <si>
    <t>06.01.25</t>
  </si>
  <si>
    <t>08.02.25</t>
  </si>
  <si>
    <t>DUE REMAINs</t>
  </si>
  <si>
    <t>Arisha</t>
  </si>
  <si>
    <t>09.12.24</t>
  </si>
  <si>
    <t>28.02.25</t>
  </si>
  <si>
    <t>Nowshin</t>
  </si>
  <si>
    <t>25.02.25</t>
  </si>
  <si>
    <t>prev.</t>
  </si>
  <si>
    <t>Bank</t>
  </si>
  <si>
    <t>Bkash</t>
  </si>
  <si>
    <t>Ammu(extra)</t>
  </si>
  <si>
    <t>Nowshin Raisa</t>
  </si>
  <si>
    <t>1200p</t>
  </si>
  <si>
    <t>Arisha Raisa</t>
  </si>
  <si>
    <t>1000p</t>
  </si>
  <si>
    <t>sweets to Raisa's home</t>
  </si>
  <si>
    <t>Raisa salami</t>
  </si>
  <si>
    <t>to Raisa's home</t>
  </si>
  <si>
    <t>dayoff</t>
  </si>
  <si>
    <t xml:space="preserve">Raisa university </t>
  </si>
  <si>
    <t xml:space="preserve">Dining lounge </t>
  </si>
  <si>
    <t>Raisa Uni</t>
  </si>
  <si>
    <t>Jamjam food</t>
  </si>
  <si>
    <t>hair oil, lip balm</t>
  </si>
  <si>
    <t xml:space="preserve">dayoff </t>
  </si>
  <si>
    <t xml:space="preserve">Moin Eyehospital </t>
  </si>
  <si>
    <t xml:space="preserve">sami return </t>
  </si>
  <si>
    <t>file</t>
  </si>
  <si>
    <t>pad copy</t>
  </si>
  <si>
    <t>metro</t>
  </si>
  <si>
    <t>Dhaka Tutors</t>
  </si>
  <si>
    <t>books</t>
  </si>
  <si>
    <t xml:space="preserve">recharge </t>
  </si>
  <si>
    <t xml:space="preserve">transport </t>
  </si>
  <si>
    <t>Actual Expense</t>
  </si>
  <si>
    <t>Wallet</t>
  </si>
  <si>
    <t xml:space="preserve">Savings </t>
  </si>
  <si>
    <t xml:space="preserve">March </t>
  </si>
  <si>
    <t>February Salary</t>
  </si>
  <si>
    <t>16.03.25</t>
  </si>
  <si>
    <t>09.03.25</t>
  </si>
  <si>
    <t>Farhan II</t>
  </si>
  <si>
    <t>10.03.25</t>
  </si>
  <si>
    <t>05.03.25</t>
  </si>
  <si>
    <t>28.03.25</t>
  </si>
  <si>
    <t>Aaiyan</t>
  </si>
  <si>
    <t>24.03.25</t>
  </si>
  <si>
    <t xml:space="preserve">Ruthba March </t>
  </si>
  <si>
    <t>25.03.25</t>
  </si>
  <si>
    <t xml:space="preserve">Faiyaz March </t>
  </si>
  <si>
    <t>26.03.25</t>
  </si>
  <si>
    <t>Labib March</t>
  </si>
  <si>
    <t>29.03.25</t>
  </si>
  <si>
    <t xml:space="preserve">Srabon March </t>
  </si>
  <si>
    <t xml:space="preserve">moin shopping </t>
  </si>
  <si>
    <t>moin salami</t>
  </si>
  <si>
    <t xml:space="preserve">Diabari </t>
  </si>
  <si>
    <t>Iftar</t>
  </si>
  <si>
    <t>jamjam iftar</t>
  </si>
  <si>
    <t>raisa med</t>
  </si>
  <si>
    <t xml:space="preserve">home Advance </t>
  </si>
  <si>
    <t>iftar</t>
  </si>
  <si>
    <t xml:space="preserve">raisa recharge </t>
  </si>
  <si>
    <t>abbu-A/C</t>
  </si>
  <si>
    <t xml:space="preserve">Raisa shopping </t>
  </si>
  <si>
    <t>raisa bhara</t>
  </si>
  <si>
    <t>mehedi</t>
  </si>
  <si>
    <t>faluda, meatbox</t>
  </si>
  <si>
    <t>2mon MB</t>
  </si>
  <si>
    <t>Shanta asset</t>
  </si>
  <si>
    <t xml:space="preserve">Naim shopping </t>
  </si>
  <si>
    <t>Naim shoe</t>
  </si>
  <si>
    <t>wafi salami</t>
  </si>
  <si>
    <t>milk</t>
  </si>
  <si>
    <t>uy lab</t>
  </si>
  <si>
    <t>Dhaka tutor</t>
  </si>
  <si>
    <t xml:space="preserve">Dhaka University </t>
  </si>
  <si>
    <t>April</t>
  </si>
  <si>
    <t>March Salary</t>
  </si>
  <si>
    <t xml:space="preserve">Ruthba </t>
  </si>
  <si>
    <t xml:space="preserve">Labib </t>
  </si>
  <si>
    <t>Srabon</t>
  </si>
  <si>
    <t xml:space="preserve">Nowshin </t>
  </si>
  <si>
    <t>10.04.25</t>
  </si>
  <si>
    <t>15000p</t>
  </si>
  <si>
    <t>18.04.25</t>
  </si>
  <si>
    <t>11.04.25</t>
  </si>
  <si>
    <t>29.04.25</t>
  </si>
  <si>
    <t>Home rent</t>
  </si>
  <si>
    <t>14/4</t>
  </si>
  <si>
    <t>sodga</t>
  </si>
  <si>
    <t>Sodga</t>
  </si>
  <si>
    <t>alu peyach</t>
  </si>
  <si>
    <t>bajar</t>
  </si>
  <si>
    <t>passport loan</t>
  </si>
  <si>
    <t>17/4</t>
  </si>
  <si>
    <t>ammu</t>
  </si>
  <si>
    <t>22/4</t>
  </si>
  <si>
    <t>ammu med</t>
  </si>
  <si>
    <t xml:space="preserve">moin hospital </t>
  </si>
  <si>
    <t>870p</t>
  </si>
  <si>
    <t>15/4</t>
  </si>
  <si>
    <t>bhara</t>
  </si>
  <si>
    <t xml:space="preserve">fantasy kingdom </t>
  </si>
  <si>
    <t>cleaner</t>
  </si>
  <si>
    <t>18/4</t>
  </si>
  <si>
    <t>Munna bhai</t>
  </si>
  <si>
    <t>16/4</t>
  </si>
  <si>
    <t>30/4</t>
  </si>
  <si>
    <t xml:space="preserve">Shomity </t>
  </si>
  <si>
    <t xml:space="preserve">Fantasy kingdom </t>
  </si>
  <si>
    <t>Home extra</t>
  </si>
  <si>
    <t>rice,egg</t>
  </si>
  <si>
    <t>Transport fee</t>
  </si>
  <si>
    <t>mask</t>
  </si>
  <si>
    <t>Food</t>
  </si>
  <si>
    <t>rice bowl, lassi</t>
  </si>
  <si>
    <t>kabin nama</t>
  </si>
  <si>
    <t>Moin</t>
  </si>
  <si>
    <t xml:space="preserve">Others </t>
  </si>
  <si>
    <t>New home</t>
  </si>
  <si>
    <t>coneicecream</t>
  </si>
  <si>
    <t>raisa uni bill</t>
  </si>
  <si>
    <t>food,lassi</t>
  </si>
  <si>
    <t xml:space="preserve">deposit </t>
  </si>
  <si>
    <t>Raisa uni</t>
  </si>
  <si>
    <t>5000p</t>
  </si>
  <si>
    <t xml:space="preserve">Income </t>
  </si>
  <si>
    <t xml:space="preserve">Expense </t>
  </si>
  <si>
    <t>lassi</t>
  </si>
  <si>
    <t>recharge mb</t>
  </si>
  <si>
    <t>13/4</t>
  </si>
  <si>
    <t>Home</t>
  </si>
  <si>
    <t>Bhara</t>
  </si>
  <si>
    <t>19/4</t>
  </si>
  <si>
    <t>Lankabangla BO</t>
  </si>
  <si>
    <t>20/4</t>
  </si>
  <si>
    <t>21/4</t>
  </si>
  <si>
    <t xml:space="preserve">Per. Expenses </t>
  </si>
  <si>
    <t>Saloon</t>
  </si>
  <si>
    <t>Wife</t>
  </si>
  <si>
    <t>lassi,bread</t>
  </si>
  <si>
    <t xml:space="preserve">new home </t>
  </si>
  <si>
    <t xml:space="preserve">medicine </t>
  </si>
  <si>
    <t>23/4</t>
  </si>
  <si>
    <t>bread</t>
  </si>
  <si>
    <t>University fee</t>
  </si>
  <si>
    <t xml:space="preserve">uni. re-admission </t>
  </si>
  <si>
    <t>24/04</t>
  </si>
  <si>
    <t>improvement test</t>
  </si>
  <si>
    <t>24/4</t>
  </si>
  <si>
    <t>25/4</t>
  </si>
  <si>
    <t>26/4</t>
  </si>
  <si>
    <t xml:space="preserve">bedding </t>
  </si>
  <si>
    <t>27/4</t>
  </si>
  <si>
    <t>floor mat</t>
  </si>
  <si>
    <t xml:space="preserve">fan, light </t>
  </si>
  <si>
    <t xml:space="preserve">curtains advance </t>
  </si>
  <si>
    <t xml:space="preserve">pillow </t>
  </si>
  <si>
    <t xml:space="preserve">bedsheet </t>
  </si>
  <si>
    <t xml:space="preserve">curtains </t>
  </si>
  <si>
    <t xml:space="preserve">bariwala Aunty </t>
  </si>
  <si>
    <t>begger</t>
  </si>
  <si>
    <t xml:space="preserve">kitchen utensils </t>
  </si>
  <si>
    <t>28/4</t>
  </si>
  <si>
    <t>handwash,powder,etc</t>
  </si>
  <si>
    <t>29/4</t>
  </si>
  <si>
    <t>med</t>
  </si>
  <si>
    <t>bike</t>
  </si>
  <si>
    <t>??</t>
  </si>
  <si>
    <t xml:space="preserve">utensils </t>
  </si>
  <si>
    <t>new home electricity bill</t>
  </si>
  <si>
    <t>Beef khichuri</t>
  </si>
  <si>
    <t>dim khichuri</t>
  </si>
  <si>
    <t>Withdrawal</t>
  </si>
  <si>
    <t>May</t>
  </si>
  <si>
    <t>April Salary</t>
  </si>
  <si>
    <t>09.05.25</t>
  </si>
  <si>
    <t>02.05.25</t>
  </si>
  <si>
    <t>07.05.25</t>
  </si>
  <si>
    <t>Farhan March</t>
  </si>
  <si>
    <t>10.05.25</t>
  </si>
  <si>
    <t>25.05.25</t>
  </si>
  <si>
    <t>05.05.25</t>
  </si>
  <si>
    <t>19.05.25</t>
  </si>
  <si>
    <t xml:space="preserve">Sufian </t>
  </si>
  <si>
    <t>27.05.25</t>
  </si>
  <si>
    <t>31.05.25</t>
  </si>
  <si>
    <t>Raisa lozain</t>
  </si>
  <si>
    <t>7500p</t>
  </si>
  <si>
    <t>Raisa diba</t>
  </si>
  <si>
    <t>8500p</t>
  </si>
  <si>
    <t>21.05.25</t>
  </si>
  <si>
    <t>prev.month</t>
  </si>
  <si>
    <t>home rent</t>
  </si>
  <si>
    <t xml:space="preserve">home rent </t>
  </si>
  <si>
    <t>fridge fix</t>
  </si>
  <si>
    <t>moin med</t>
  </si>
  <si>
    <t xml:space="preserve">Munna bhai mango </t>
  </si>
  <si>
    <t>Total</t>
  </si>
  <si>
    <t>scrub</t>
  </si>
  <si>
    <t>Raisa's money</t>
  </si>
  <si>
    <t>Lunch</t>
  </si>
  <si>
    <t>Ammu lock</t>
  </si>
  <si>
    <t xml:space="preserve">Raisa's money </t>
  </si>
  <si>
    <t xml:space="preserve">Pickup van </t>
  </si>
  <si>
    <t xml:space="preserve">pickup van </t>
  </si>
  <si>
    <t>wall pin</t>
  </si>
  <si>
    <t>Raisa gave</t>
  </si>
  <si>
    <t xml:space="preserve">grocery </t>
  </si>
  <si>
    <t xml:space="preserve">stove+cylinder </t>
  </si>
  <si>
    <t xml:space="preserve">blender </t>
  </si>
  <si>
    <t xml:space="preserve">Blender </t>
  </si>
  <si>
    <t>sweets</t>
  </si>
  <si>
    <t>khichuri</t>
  </si>
  <si>
    <t>Ammu-Raisar ma</t>
  </si>
  <si>
    <t>Porota</t>
  </si>
  <si>
    <t>oil,chilli,tomato</t>
  </si>
  <si>
    <t xml:space="preserve">light,glass cleaner </t>
  </si>
  <si>
    <t xml:space="preserve">Rack,container </t>
  </si>
  <si>
    <t xml:space="preserve">shopping </t>
  </si>
  <si>
    <t xml:space="preserve">groceries </t>
  </si>
  <si>
    <t>Raisa bhara</t>
  </si>
  <si>
    <t>banana</t>
  </si>
  <si>
    <t>snacks+food buy</t>
  </si>
  <si>
    <t>porda</t>
  </si>
  <si>
    <t>Slides</t>
  </si>
  <si>
    <t xml:space="preserve">moshari </t>
  </si>
  <si>
    <t>electric bill nhome</t>
  </si>
  <si>
    <t>eggs+shampoo</t>
  </si>
  <si>
    <t>coil</t>
  </si>
  <si>
    <t>Shajgoch</t>
  </si>
  <si>
    <t xml:space="preserve">Raisa Recharge </t>
  </si>
  <si>
    <t>friends</t>
  </si>
  <si>
    <t xml:space="preserve">Refrigerator </t>
  </si>
  <si>
    <t>lock+ jharu</t>
  </si>
  <si>
    <t xml:space="preserve">cake+juice </t>
  </si>
  <si>
    <t>rocket</t>
  </si>
  <si>
    <t>mb raisa</t>
  </si>
  <si>
    <t>13/5</t>
  </si>
  <si>
    <t>home all day</t>
  </si>
  <si>
    <t>14/5</t>
  </si>
  <si>
    <t>15/5</t>
  </si>
  <si>
    <t>Fridge fix</t>
  </si>
  <si>
    <t>9000p</t>
  </si>
  <si>
    <t>250p</t>
  </si>
  <si>
    <t>extra</t>
  </si>
  <si>
    <t>eggs</t>
  </si>
  <si>
    <t>mamgo+morich+lebu</t>
  </si>
  <si>
    <t>16/5</t>
  </si>
  <si>
    <t xml:space="preserve">Raisa bhara </t>
  </si>
  <si>
    <t>17/5</t>
  </si>
  <si>
    <t>18/5</t>
  </si>
  <si>
    <t>19/5</t>
  </si>
  <si>
    <t>Murgir tk</t>
  </si>
  <si>
    <t>5 match box</t>
  </si>
  <si>
    <t xml:space="preserve">shingara </t>
  </si>
  <si>
    <t>20/5</t>
  </si>
  <si>
    <t>Raisa dress</t>
  </si>
  <si>
    <t>Munna bhai mango</t>
  </si>
  <si>
    <t>21/5</t>
  </si>
  <si>
    <t>22/5</t>
  </si>
  <si>
    <t>23/5</t>
  </si>
  <si>
    <t>bajar+bhara</t>
  </si>
  <si>
    <t xml:space="preserve">biscuits </t>
  </si>
  <si>
    <t>24/5</t>
  </si>
  <si>
    <t xml:space="preserve">home electricity bill </t>
  </si>
  <si>
    <t>uni tour fee</t>
  </si>
  <si>
    <t>25/5</t>
  </si>
  <si>
    <t>26/5</t>
  </si>
  <si>
    <t xml:space="preserve">Raisa uni fee </t>
  </si>
  <si>
    <t>papaya</t>
  </si>
  <si>
    <t xml:space="preserve">pineapple </t>
  </si>
  <si>
    <t>Rui fish</t>
  </si>
  <si>
    <t xml:space="preserve">ice cream </t>
  </si>
  <si>
    <t>27/5</t>
  </si>
  <si>
    <t>PC fix</t>
  </si>
  <si>
    <t>28/5</t>
  </si>
  <si>
    <t>bedsheet</t>
  </si>
  <si>
    <t>bedsheet,</t>
  </si>
  <si>
    <t xml:space="preserve">home electricity </t>
  </si>
  <si>
    <t>29/5</t>
  </si>
  <si>
    <t>Qurbani</t>
  </si>
  <si>
    <t>30/5</t>
  </si>
  <si>
    <t>umbrella, apron</t>
  </si>
  <si>
    <t>31/5</t>
  </si>
  <si>
    <t>box</t>
  </si>
  <si>
    <t>chal</t>
  </si>
  <si>
    <t xml:space="preserve">ice cream, brush </t>
  </si>
  <si>
    <t>Raisa jama</t>
  </si>
  <si>
    <t>June</t>
  </si>
  <si>
    <t>May Salary</t>
  </si>
  <si>
    <t>31/05</t>
  </si>
  <si>
    <t xml:space="preserve">Tanha </t>
  </si>
  <si>
    <t>1.06.25</t>
  </si>
  <si>
    <t>naim</t>
  </si>
  <si>
    <t>Sara</t>
  </si>
  <si>
    <t>Lozain</t>
  </si>
  <si>
    <t>Anna</t>
  </si>
  <si>
    <t>salami</t>
  </si>
  <si>
    <t xml:space="preserve">Srabon </t>
  </si>
  <si>
    <t xml:space="preserve">Farhan2 </t>
  </si>
  <si>
    <t>sara</t>
  </si>
  <si>
    <t xml:space="preserve">Farhan </t>
  </si>
  <si>
    <t xml:space="preserve">Arisha </t>
  </si>
  <si>
    <t>farhan</t>
  </si>
  <si>
    <t>kurbani</t>
  </si>
  <si>
    <t>20000p</t>
  </si>
  <si>
    <t>D sefa cap</t>
  </si>
  <si>
    <t>Ammu choshma</t>
  </si>
  <si>
    <t>Ammu extra</t>
  </si>
  <si>
    <t>Lactogen</t>
  </si>
  <si>
    <t xml:space="preserve">powder </t>
  </si>
  <si>
    <t xml:space="preserve">hujur </t>
  </si>
  <si>
    <t>milk,ghee,dim,tokdoi,egg</t>
  </si>
  <si>
    <t>mojo coke</t>
  </si>
  <si>
    <t>Narikel</t>
  </si>
  <si>
    <t xml:space="preserve">Babu hospital </t>
  </si>
  <si>
    <t>(01.06.25)</t>
  </si>
  <si>
    <t xml:space="preserve">Munna bhai </t>
  </si>
  <si>
    <t xml:space="preserve">Total </t>
  </si>
  <si>
    <t>shoes</t>
  </si>
  <si>
    <t>Tanha flowers</t>
  </si>
  <si>
    <t>Raisa jama lost</t>
  </si>
  <si>
    <t xml:space="preserve">wifi connection </t>
  </si>
  <si>
    <t>recharge</t>
  </si>
  <si>
    <t>14.06.25</t>
  </si>
  <si>
    <t xml:space="preserve">Ice cream </t>
  </si>
  <si>
    <t xml:space="preserve">Raisa shoes </t>
  </si>
  <si>
    <t>07-16</t>
  </si>
  <si>
    <t xml:space="preserve">Qurbani </t>
  </si>
  <si>
    <t>raisa dress</t>
  </si>
  <si>
    <t>mango guava</t>
  </si>
  <si>
    <t xml:space="preserve">Groceries </t>
  </si>
  <si>
    <t>inner cloth</t>
  </si>
  <si>
    <t>girl</t>
  </si>
  <si>
    <t>meatbox</t>
  </si>
  <si>
    <t>pizza</t>
  </si>
  <si>
    <t>fintop</t>
  </si>
  <si>
    <t>CNG bhara</t>
  </si>
  <si>
    <t>Raisa eid salami</t>
  </si>
  <si>
    <t>6 dozen egg</t>
  </si>
  <si>
    <t>ice cream</t>
  </si>
  <si>
    <t>coke</t>
  </si>
  <si>
    <t>cylinder gas</t>
  </si>
  <si>
    <t>Almirah,bed,sidetable</t>
  </si>
  <si>
    <t xml:space="preserve">delivery </t>
  </si>
  <si>
    <t>fuchka</t>
  </si>
  <si>
    <t xml:space="preserve">Trimmer </t>
  </si>
  <si>
    <t xml:space="preserve">Monitor, keyboard </t>
  </si>
  <si>
    <t>cone</t>
  </si>
  <si>
    <t>pentablet</t>
  </si>
  <si>
    <t xml:space="preserve">pentablet </t>
  </si>
  <si>
    <t xml:space="preserve">microphone </t>
  </si>
  <si>
    <t>Raisa uni bill</t>
  </si>
  <si>
    <t>electricity bill</t>
  </si>
  <si>
    <t>munna bhai</t>
  </si>
  <si>
    <t>lemon</t>
  </si>
  <si>
    <t>jhalmuri</t>
  </si>
  <si>
    <t>Sajgoch raisa</t>
  </si>
  <si>
    <t>shampoo</t>
  </si>
  <si>
    <t>raisa bkash</t>
  </si>
  <si>
    <t>July</t>
  </si>
  <si>
    <t>June Salary</t>
  </si>
  <si>
    <t>10000p</t>
  </si>
  <si>
    <t xml:space="preserve">desco job apply Munna bhai </t>
  </si>
  <si>
    <t>ammu 200</t>
  </si>
  <si>
    <t>moin 100</t>
  </si>
  <si>
    <t xml:space="preserve">ammu </t>
  </si>
  <si>
    <t>total expense</t>
  </si>
  <si>
    <t xml:space="preserve">wife expenses </t>
  </si>
  <si>
    <t>raisa recharge</t>
  </si>
  <si>
    <t>Raisa Bhara</t>
  </si>
  <si>
    <t>naim recharge</t>
  </si>
  <si>
    <t>Raisa skin care</t>
  </si>
  <si>
    <t>WIFI BILL</t>
  </si>
  <si>
    <t>raisa juice</t>
  </si>
  <si>
    <t>cashout</t>
  </si>
  <si>
    <t>Raisa smuggle korse</t>
  </si>
  <si>
    <t xml:space="preserve">Home expenses </t>
  </si>
  <si>
    <t>Bajar</t>
  </si>
  <si>
    <t>bajar(tissue,sandle,handwash,odonil)</t>
  </si>
  <si>
    <t xml:space="preserve">5kg chicken </t>
  </si>
  <si>
    <t>ada</t>
  </si>
  <si>
    <t>peyara</t>
  </si>
  <si>
    <t>peyach Alu</t>
  </si>
  <si>
    <t>biscuits, eggs</t>
  </si>
  <si>
    <t>powder milk</t>
  </si>
  <si>
    <t xml:space="preserve">book shelf </t>
  </si>
  <si>
    <t>fan, iron</t>
  </si>
  <si>
    <t>ata</t>
  </si>
  <si>
    <t>mojo</t>
  </si>
  <si>
    <t xml:space="preserve">personal expenses </t>
  </si>
  <si>
    <t>Books</t>
  </si>
  <si>
    <t>guitar fix</t>
  </si>
  <si>
    <t xml:space="preserve">shomity </t>
  </si>
  <si>
    <t xml:space="preserve">bhara </t>
  </si>
  <si>
    <t>desco job apply</t>
  </si>
  <si>
    <t>belt</t>
  </si>
  <si>
    <t>23-26</t>
  </si>
  <si>
    <t xml:space="preserve">Tution media </t>
  </si>
  <si>
    <t>27-31</t>
  </si>
  <si>
    <t>moin,ammu</t>
  </si>
  <si>
    <t xml:space="preserve">August </t>
  </si>
  <si>
    <t>July Salary</t>
  </si>
  <si>
    <t xml:space="preserve">Zinia </t>
  </si>
  <si>
    <t>Raisa Tanha</t>
  </si>
  <si>
    <t>wallet</t>
  </si>
  <si>
    <t xml:space="preserve">Bank Deposit </t>
  </si>
  <si>
    <t>Old Home</t>
  </si>
  <si>
    <t xml:space="preserve">Home rent </t>
  </si>
  <si>
    <t>7600p</t>
  </si>
  <si>
    <t xml:space="preserve">Electricity bill </t>
  </si>
  <si>
    <t>Ammu Extra</t>
  </si>
  <si>
    <t>Alom mama</t>
  </si>
  <si>
    <t>Bgt.Max 15000tk</t>
  </si>
  <si>
    <t>Raisa home sweets</t>
  </si>
  <si>
    <t>cone ice cream 2</t>
  </si>
  <si>
    <t>Raisa dad agai dawa</t>
  </si>
  <si>
    <t>Fatima chips</t>
  </si>
  <si>
    <t>Bgt.Max 5000tk</t>
  </si>
  <si>
    <t>Our Home</t>
  </si>
  <si>
    <t>Wifi</t>
  </si>
  <si>
    <t xml:space="preserve">12 eggs </t>
  </si>
  <si>
    <t>match box</t>
  </si>
  <si>
    <t>8 eggs</t>
  </si>
  <si>
    <t>pepe, lau</t>
  </si>
  <si>
    <t>tomato</t>
  </si>
  <si>
    <t>napa</t>
  </si>
  <si>
    <t>tok doi, coffee</t>
  </si>
  <si>
    <t xml:space="preserve">Personal </t>
  </si>
  <si>
    <t>Total Expense</t>
  </si>
  <si>
    <t xml:space="preserve">Withdrawal </t>
  </si>
  <si>
    <t>Bank Remains</t>
  </si>
  <si>
    <t xml:space="preserve">B.Transactions </t>
  </si>
  <si>
    <t>cash</t>
  </si>
  <si>
    <t>19/08</t>
  </si>
  <si>
    <t>Meherish</t>
  </si>
  <si>
    <t>Tanha</t>
  </si>
  <si>
    <t>lozain</t>
  </si>
  <si>
    <t>Enaya</t>
  </si>
  <si>
    <t xml:space="preserve">Bank </t>
  </si>
  <si>
    <t>13/08</t>
  </si>
  <si>
    <t xml:space="preserve">Raisa </t>
  </si>
  <si>
    <t>15/08</t>
  </si>
  <si>
    <t>16/08</t>
  </si>
  <si>
    <t xml:space="preserve">CentrePoint </t>
  </si>
  <si>
    <t>Naim</t>
  </si>
  <si>
    <t xml:space="preserve">Syum Tution </t>
  </si>
  <si>
    <t>17/08</t>
  </si>
  <si>
    <t>kawla bajar</t>
  </si>
  <si>
    <t xml:space="preserve">syum Tution </t>
  </si>
  <si>
    <t>Ammu hospital bill</t>
  </si>
  <si>
    <t>haircut</t>
  </si>
  <si>
    <t xml:space="preserve">gas cylinder </t>
  </si>
  <si>
    <t xml:space="preserve">cylinder gas </t>
  </si>
  <si>
    <t>22/08</t>
  </si>
  <si>
    <t xml:space="preserve">lebu tomatoes </t>
  </si>
  <si>
    <t>moury apu</t>
  </si>
  <si>
    <t xml:space="preserve">hospital medicine </t>
  </si>
  <si>
    <t>hospital visit</t>
  </si>
  <si>
    <t>xray test</t>
  </si>
  <si>
    <t>sajgoch</t>
  </si>
  <si>
    <t>shingara</t>
  </si>
  <si>
    <t>mango</t>
  </si>
  <si>
    <t>fish</t>
  </si>
  <si>
    <t>eggs&amp;bread</t>
  </si>
  <si>
    <t>guava</t>
  </si>
  <si>
    <t>Tomato, chilly</t>
  </si>
  <si>
    <t>Bua</t>
  </si>
  <si>
    <t>rice</t>
  </si>
  <si>
    <t>lemon, lal shak</t>
  </si>
  <si>
    <t>Raisa cone ice cream 2</t>
  </si>
  <si>
    <t>fatima sunglass, clips</t>
  </si>
  <si>
    <t>Fatima color, book</t>
  </si>
  <si>
    <t xml:space="preserve">Fatima chips, biscuits </t>
  </si>
  <si>
    <t>evercare CNG</t>
  </si>
  <si>
    <t xml:space="preserve">Shashuri medicine </t>
  </si>
  <si>
    <t>Shashuri hospital bill</t>
  </si>
  <si>
    <t>Uber car bill</t>
  </si>
  <si>
    <t>fatima balloon,chips</t>
  </si>
  <si>
    <t>biscuit,soup,cup</t>
  </si>
  <si>
    <t>cashout charge</t>
  </si>
  <si>
    <t>tution media</t>
  </si>
  <si>
    <t>watch fix</t>
  </si>
  <si>
    <t xml:space="preserve">September </t>
  </si>
  <si>
    <t>August Salary</t>
  </si>
  <si>
    <t>Raisul bhaiya</t>
  </si>
  <si>
    <t>sanjida</t>
  </si>
  <si>
    <t>Rongpur bus ticket</t>
  </si>
  <si>
    <t>Abbu Milad</t>
  </si>
  <si>
    <t>monju bhai, kajer lok</t>
  </si>
  <si>
    <t>Doi</t>
  </si>
  <si>
    <t xml:space="preserve">birth certificate </t>
  </si>
  <si>
    <t>shoshur hospital bill</t>
  </si>
  <si>
    <t>biscuit, tok doi</t>
  </si>
  <si>
    <t>raisa mom</t>
  </si>
  <si>
    <t xml:space="preserve">charger cable </t>
  </si>
  <si>
    <t xml:space="preserve">shoshur doc appointment </t>
  </si>
  <si>
    <t>shoshur med</t>
  </si>
  <si>
    <t>shashuri med</t>
  </si>
  <si>
    <t xml:space="preserve">shoshur dressing </t>
  </si>
  <si>
    <t xml:space="preserve">shoshur medicine </t>
  </si>
  <si>
    <t>daab, tok doi</t>
  </si>
  <si>
    <t>18/09</t>
  </si>
  <si>
    <t>uni bill</t>
  </si>
  <si>
    <t>babur ma</t>
  </si>
  <si>
    <t>kapor</t>
  </si>
  <si>
    <t>university bill</t>
  </si>
  <si>
    <t>bariwala</t>
  </si>
  <si>
    <t>hath khoroch</t>
  </si>
  <si>
    <t>raisa doc</t>
  </si>
  <si>
    <t>wifi bill</t>
  </si>
  <si>
    <t>wall clock</t>
  </si>
  <si>
    <t xml:space="preserve">vegetables </t>
  </si>
  <si>
    <t xml:space="preserve">2alu 2peyach </t>
  </si>
  <si>
    <t xml:space="preserve">RFL </t>
  </si>
  <si>
    <t>shopno bajar</t>
  </si>
  <si>
    <t>2hali eggs</t>
  </si>
  <si>
    <t>1 dogen eggs</t>
  </si>
  <si>
    <t>2 banana</t>
  </si>
  <si>
    <t xml:space="preserve">1 dozen eggs </t>
  </si>
  <si>
    <t xml:space="preserve">electric bill </t>
  </si>
  <si>
    <t xml:space="preserve">chicken </t>
  </si>
  <si>
    <t>diploma 500</t>
  </si>
  <si>
    <t>moshola,shobji,polao chal</t>
  </si>
  <si>
    <t>oil</t>
  </si>
  <si>
    <t>bua</t>
  </si>
  <si>
    <t>shoe</t>
  </si>
  <si>
    <t xml:space="preserve">bank charge </t>
  </si>
  <si>
    <t>monitor power jack</t>
  </si>
  <si>
    <t>October</t>
  </si>
  <si>
    <t>September Salary</t>
  </si>
  <si>
    <t>Zineya</t>
  </si>
  <si>
    <t>raisa lozain</t>
  </si>
  <si>
    <t>nowshin</t>
  </si>
  <si>
    <t>Raisa Meherish</t>
  </si>
  <si>
    <t>14/10/25</t>
  </si>
  <si>
    <t>sec 6</t>
  </si>
  <si>
    <t>Sanjida</t>
  </si>
  <si>
    <t>28.10.25</t>
  </si>
  <si>
    <t>Raisa Anna</t>
  </si>
  <si>
    <t>home CASH</t>
  </si>
  <si>
    <t>Bank Deposit Naim</t>
  </si>
  <si>
    <t>Moin hair cut + bhara</t>
  </si>
  <si>
    <t>moin bhara 10days</t>
  </si>
  <si>
    <t>09-18 tarik</t>
  </si>
  <si>
    <t>bkash</t>
  </si>
  <si>
    <t>doi</t>
  </si>
  <si>
    <t>tel</t>
  </si>
  <si>
    <t>pant</t>
  </si>
  <si>
    <t>medicine</t>
  </si>
  <si>
    <t>bra</t>
  </si>
  <si>
    <t>wifi</t>
  </si>
  <si>
    <t>fatima chocolate</t>
  </si>
  <si>
    <t>birthday cake</t>
  </si>
  <si>
    <t>dragon fruit</t>
  </si>
  <si>
    <t>jilapi</t>
  </si>
  <si>
    <t xml:space="preserve">tomato </t>
  </si>
  <si>
    <t>lebu</t>
  </si>
  <si>
    <t>coke,lolipop</t>
  </si>
  <si>
    <t>slippers</t>
  </si>
  <si>
    <t>job apply</t>
  </si>
  <si>
    <t>University bill</t>
  </si>
  <si>
    <t>metro card</t>
  </si>
  <si>
    <t>13/10/25</t>
  </si>
  <si>
    <t>14-15</t>
  </si>
  <si>
    <t>alia book</t>
  </si>
  <si>
    <t>ayaan</t>
  </si>
  <si>
    <t>raisa home sweets</t>
  </si>
  <si>
    <t>CNG</t>
  </si>
  <si>
    <t xml:space="preserve">November </t>
  </si>
  <si>
    <t>October Salary</t>
  </si>
  <si>
    <t>arisha</t>
  </si>
  <si>
    <t>jineya</t>
  </si>
  <si>
    <t>roza</t>
  </si>
  <si>
    <t>raisa enaya</t>
  </si>
  <si>
    <t>antony</t>
  </si>
  <si>
    <t>raisa tanha</t>
  </si>
  <si>
    <t>raisa yusra</t>
  </si>
  <si>
    <t>raisa meherish</t>
  </si>
  <si>
    <t>labib</t>
  </si>
  <si>
    <t>Antony</t>
  </si>
  <si>
    <t>Roza</t>
  </si>
  <si>
    <t>Raisa anila</t>
  </si>
  <si>
    <t xml:space="preserve">Ammu </t>
  </si>
  <si>
    <t>p44840</t>
  </si>
  <si>
    <t>p45000</t>
  </si>
  <si>
    <t xml:space="preserve">missing </t>
  </si>
  <si>
    <t>bhara tongi</t>
  </si>
  <si>
    <t>jama</t>
  </si>
  <si>
    <t>mom bkash</t>
  </si>
  <si>
    <t>money transfer fee</t>
  </si>
  <si>
    <t>coke icecream</t>
  </si>
  <si>
    <t>misty, doi</t>
  </si>
  <si>
    <t>dad bajar</t>
  </si>
  <si>
    <t>Oloi nueter</t>
  </si>
  <si>
    <t>alu</t>
  </si>
  <si>
    <t>tomato, bhorbhoti</t>
  </si>
  <si>
    <t>olio towel</t>
  </si>
  <si>
    <t>1 dozen egg</t>
  </si>
  <si>
    <t>3 mr twist chips</t>
  </si>
  <si>
    <t>cylinder</t>
  </si>
  <si>
    <t>tulos syrup</t>
  </si>
  <si>
    <t xml:space="preserve">wifi bill </t>
  </si>
  <si>
    <t xml:space="preserve">doctor </t>
  </si>
  <si>
    <t>olio food</t>
  </si>
  <si>
    <t>basha bhara</t>
  </si>
  <si>
    <t>murgi</t>
  </si>
  <si>
    <t xml:space="preserve"> chal</t>
  </si>
  <si>
    <t>muri</t>
  </si>
  <si>
    <t>olio</t>
  </si>
  <si>
    <t>snacks</t>
  </si>
  <si>
    <t>banana, shak</t>
  </si>
  <si>
    <t xml:space="preserve">olio doc visit </t>
  </si>
  <si>
    <t>olio test fee</t>
  </si>
  <si>
    <t>bajar+eggs+peyara</t>
  </si>
  <si>
    <t>syrup</t>
  </si>
  <si>
    <t>Raisa nosepin</t>
  </si>
  <si>
    <t>2 to 6</t>
  </si>
  <si>
    <t xml:space="preserve">antony recharge </t>
  </si>
  <si>
    <t>book</t>
  </si>
  <si>
    <t>cng bhara</t>
  </si>
  <si>
    <t>media fee</t>
  </si>
  <si>
    <t>Roza media fee</t>
  </si>
  <si>
    <t xml:space="preserve">filter </t>
  </si>
  <si>
    <t>dad glass</t>
  </si>
  <si>
    <t xml:space="preserve">December </t>
  </si>
  <si>
    <t>November Salary</t>
  </si>
  <si>
    <t xml:space="preserve">sanjida October salary </t>
  </si>
  <si>
    <t>03.12.25</t>
  </si>
  <si>
    <t>06.12.25</t>
  </si>
  <si>
    <t>08.12.25</t>
  </si>
  <si>
    <t>09.12.25</t>
  </si>
  <si>
    <t>10.12.25</t>
  </si>
  <si>
    <t xml:space="preserve">Sanjida November Salary </t>
  </si>
  <si>
    <t>23.12.25</t>
  </si>
  <si>
    <t>interest</t>
  </si>
  <si>
    <t>Raisa bank</t>
  </si>
  <si>
    <t>Naim bank</t>
  </si>
  <si>
    <t>Ammu dentist popular test</t>
  </si>
  <si>
    <t>Ammu dentist visit</t>
  </si>
  <si>
    <t>saifan</t>
  </si>
  <si>
    <t>18,25</t>
  </si>
  <si>
    <t>new note</t>
  </si>
  <si>
    <t>naim bhara</t>
  </si>
  <si>
    <t>Raisa Bank 34190</t>
  </si>
  <si>
    <t>raisa hand cash</t>
  </si>
  <si>
    <t>Raisa bank 34190+21000</t>
  </si>
  <si>
    <t>bank</t>
  </si>
  <si>
    <t>zoo tour</t>
  </si>
  <si>
    <t xml:space="preserve">hospital </t>
  </si>
  <si>
    <t>slides</t>
  </si>
  <si>
    <t>ammu banana</t>
  </si>
  <si>
    <t>hospital bill</t>
  </si>
  <si>
    <t xml:space="preserve">raisa fruits </t>
  </si>
  <si>
    <t>Angur</t>
  </si>
  <si>
    <t>razor</t>
  </si>
  <si>
    <t>chips</t>
  </si>
  <si>
    <t>500g peyach</t>
  </si>
  <si>
    <t>peyach, vinegar, parashut, morich</t>
  </si>
  <si>
    <t>Dining lounch food</t>
  </si>
  <si>
    <t>chal 2kg</t>
  </si>
  <si>
    <t>eggs 16</t>
  </si>
  <si>
    <t>khala</t>
  </si>
  <si>
    <t>Ajompur home adv. tk</t>
  </si>
  <si>
    <t>eggs 12</t>
  </si>
  <si>
    <t>coke 1 liter</t>
  </si>
  <si>
    <t>2kg chal</t>
  </si>
  <si>
    <t xml:space="preserve">sweets for pregnancy </t>
  </si>
  <si>
    <t xml:space="preserve">2 coconut </t>
  </si>
  <si>
    <t>Raisa boro bhaiya sweets</t>
  </si>
  <si>
    <t>belt wallet</t>
  </si>
  <si>
    <t>bank fee</t>
  </si>
  <si>
    <t>20-22</t>
  </si>
  <si>
    <t>pitha</t>
  </si>
  <si>
    <t>JANUARY</t>
  </si>
  <si>
    <t>FEBRUARY</t>
  </si>
  <si>
    <t>MARCH</t>
  </si>
  <si>
    <t xml:space="preserve">APRIL </t>
  </si>
  <si>
    <t>MAY</t>
  </si>
  <si>
    <t>income</t>
  </si>
  <si>
    <t>Ammu's expense</t>
  </si>
  <si>
    <t>Raisa's expense</t>
  </si>
  <si>
    <t>home's expense</t>
  </si>
  <si>
    <t>personal expense</t>
  </si>
  <si>
    <t>Bank balance</t>
  </si>
  <si>
    <t>wallet balance</t>
  </si>
  <si>
    <t>February</t>
  </si>
  <si>
    <t>Students</t>
  </si>
  <si>
    <t>Month Ends</t>
  </si>
  <si>
    <t>Late days</t>
  </si>
  <si>
    <t>03.01.26</t>
  </si>
  <si>
    <t>05.01.26</t>
  </si>
  <si>
    <t>31.01.26</t>
  </si>
  <si>
    <t>02.02.26</t>
  </si>
  <si>
    <t>30.12.25</t>
  </si>
  <si>
    <t>04.02.26</t>
  </si>
  <si>
    <t>06.01.26</t>
  </si>
  <si>
    <t>10.01.26</t>
  </si>
  <si>
    <t>16.02.26</t>
  </si>
  <si>
    <t>14.01.26</t>
  </si>
  <si>
    <t>28.01.26</t>
  </si>
  <si>
    <t>01.02.26</t>
  </si>
  <si>
    <t>17.02.26</t>
  </si>
  <si>
    <t>pending (Dec'25)</t>
  </si>
  <si>
    <t>19/-25.12.25</t>
  </si>
  <si>
    <t>-</t>
  </si>
  <si>
    <t>05.02.26</t>
  </si>
  <si>
    <t>09.02.26</t>
  </si>
  <si>
    <t>01.01.26</t>
  </si>
  <si>
    <t>pending (Jan)</t>
  </si>
  <si>
    <t>14.02.26</t>
  </si>
  <si>
    <t>04.01.26</t>
  </si>
  <si>
    <t>09.01.26</t>
  </si>
  <si>
    <t>last month wallet</t>
  </si>
  <si>
    <t>ammu phone</t>
  </si>
  <si>
    <t>losion</t>
  </si>
  <si>
    <t>dentist</t>
  </si>
  <si>
    <t>ammu.</t>
  </si>
  <si>
    <t>fruits saifan</t>
  </si>
  <si>
    <t>Medicine + fruits + bua</t>
  </si>
  <si>
    <t>raisa clothes</t>
  </si>
  <si>
    <t>mom mb recharge</t>
  </si>
  <si>
    <t>ultra sono test, doctor visit</t>
  </si>
  <si>
    <t>raisa fatima dress</t>
  </si>
  <si>
    <t>urine test</t>
  </si>
  <si>
    <t>fruits</t>
  </si>
  <si>
    <t>homeo doc</t>
  </si>
  <si>
    <t>mom</t>
  </si>
  <si>
    <t>bank charge</t>
  </si>
  <si>
    <t>5kg rice</t>
  </si>
  <si>
    <t>kettle</t>
  </si>
  <si>
    <t>light</t>
  </si>
  <si>
    <t>olio jhuri</t>
  </si>
  <si>
    <t>dinong table chair, carpet</t>
  </si>
  <si>
    <t>tok doi</t>
  </si>
  <si>
    <t>filter setup bikash bill</t>
  </si>
  <si>
    <t>tissue</t>
  </si>
  <si>
    <t>wifi steup bikash bill</t>
  </si>
  <si>
    <t>carpet bill bikash</t>
  </si>
  <si>
    <t>toshok, balish bkash bill</t>
  </si>
  <si>
    <t xml:space="preserve">banana </t>
  </si>
  <si>
    <t>geyser</t>
  </si>
  <si>
    <t>mirror</t>
  </si>
  <si>
    <t>metro food court</t>
  </si>
  <si>
    <t>wafer</t>
  </si>
  <si>
    <t>tokdoi,egg.sim,shak,chilli</t>
  </si>
  <si>
    <t xml:space="preserve">coconut </t>
  </si>
  <si>
    <t>nashpati, anar, boroi</t>
  </si>
  <si>
    <t>cucumber, capsicum</t>
  </si>
  <si>
    <t>olio liter, catfood</t>
  </si>
  <si>
    <t>watermelon 4 kg</t>
  </si>
  <si>
    <t>boro bhaiyar basha 25 nan ruti</t>
  </si>
  <si>
    <t>dates 0.5kg</t>
  </si>
  <si>
    <t>snikers 3ta</t>
  </si>
  <si>
    <t>olio tshirt</t>
  </si>
  <si>
    <t>guava,lal shak, wooden spoon</t>
  </si>
  <si>
    <t>naspati 0.5kg</t>
  </si>
  <si>
    <t>murgi 4kg</t>
  </si>
  <si>
    <t>lebu 12piece</t>
  </si>
  <si>
    <t>capsicum 0.5kg</t>
  </si>
  <si>
    <t>alu 3kg</t>
  </si>
  <si>
    <t>olio litter</t>
  </si>
  <si>
    <t>pabda fish 1.2kg</t>
  </si>
  <si>
    <t>chicken</t>
  </si>
  <si>
    <t>shing mach 2.3kg</t>
  </si>
  <si>
    <t>lebu chiprani</t>
  </si>
  <si>
    <t>lau</t>
  </si>
  <si>
    <t>pandamart bajar</t>
  </si>
  <si>
    <t>sim,tomato,morich,dhoniapata,lal shak,palo shak</t>
  </si>
  <si>
    <t>chal 5kg</t>
  </si>
  <si>
    <t>muri, banana, eggs, alu, tissue</t>
  </si>
  <si>
    <t>van bhara</t>
  </si>
  <si>
    <t>jilapi, buinda</t>
  </si>
  <si>
    <t>devan sofa</t>
  </si>
  <si>
    <t>roohafza</t>
  </si>
  <si>
    <t>divan cover</t>
  </si>
  <si>
    <t>olive oil</t>
  </si>
  <si>
    <t>banijjo mela</t>
  </si>
  <si>
    <t>bajar+fruits</t>
  </si>
  <si>
    <t>electric stove</t>
  </si>
  <si>
    <t>eggs,shak</t>
  </si>
  <si>
    <t>driving lisence</t>
  </si>
  <si>
    <t>jacket</t>
  </si>
  <si>
    <t>sim replace</t>
  </si>
  <si>
    <t>tupi</t>
  </si>
  <si>
    <t>jacket+turtleneck</t>
  </si>
  <si>
    <t>mousepad</t>
  </si>
  <si>
    <t>excel file perchase</t>
  </si>
  <si>
    <t>watch</t>
  </si>
  <si>
    <t xml:space="preserve">snacks </t>
  </si>
  <si>
    <t>19,20</t>
  </si>
  <si>
    <t xml:space="preserve">Monthly Expense Amount </t>
  </si>
  <si>
    <t>Months</t>
  </si>
  <si>
    <t>March</t>
  </si>
  <si>
    <t>August</t>
  </si>
  <si>
    <t>September</t>
  </si>
  <si>
    <t>November</t>
  </si>
  <si>
    <t>December</t>
  </si>
  <si>
    <t xml:space="preserve">Spent Amount </t>
  </si>
  <si>
    <t xml:space="preserve">Recovered amount </t>
  </si>
  <si>
    <t>Raisul bhaiya (09/09/25)</t>
  </si>
  <si>
    <t xml:space="preserve">ammu medicine </t>
  </si>
  <si>
    <t>ammu hospital bill</t>
  </si>
  <si>
    <t>abbu hospital bill</t>
  </si>
  <si>
    <t xml:space="preserve">ammu groceries </t>
  </si>
  <si>
    <t xml:space="preserve">ammu charger cable </t>
  </si>
  <si>
    <t xml:space="preserve">abbu doc appointment </t>
  </si>
  <si>
    <t xml:space="preserve">abbu medicine </t>
  </si>
  <si>
    <t>abbu dressing dues</t>
  </si>
  <si>
    <t>dressing bhara                      02/09/25-12/09/25</t>
  </si>
  <si>
    <t xml:space="preserve">saline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</si>
</sst>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&quot;$&quot;#,##0.00"/>
    <numFmt numFmtId="165" formatCode="&quot;$&quot;#,##0"/>
    <numFmt numFmtId="166" formatCode="m/d"/>
    <numFmt numFmtId="167" formatCode="dmmm"/>
    <numFmt numFmtId="168" formatCode="mm/dd"/>
    <numFmt numFmtId="169" formatCode="dd/mm"/>
    <numFmt numFmtId="170" formatCode="mm/dd/yy"/>
    <numFmt numFmtId="171" formatCode="[$Rs-445]#,##0"/>
    <numFmt numFmtId="172" formatCode="dd/mm/yy"/>
    <numFmt numFmtId="173" formatCode="m/d/yy"/>
    <numFmt numFmtId="174" formatCode="mm-dd"/>
    <numFmt numFmtId="175" formatCode="m-d"/>
    <numFmt numFmtId="176" formatCode="d mmm"/>
  </numFmts>
  <fonts count="22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trike/>
      <color theme="1"/>
      <name val="Arial"/>
      <scheme val="minor"/>
    </font>
    <font>
      <b/>
      <sz val="18.0"/>
      <color theme="1"/>
      <name val="Arial"/>
      <scheme val="minor"/>
    </font>
    <font>
      <b/>
      <sz val="14.0"/>
      <color theme="1"/>
      <name val="EB Garamond"/>
    </font>
    <font>
      <b/>
      <sz val="11.0"/>
      <color theme="1"/>
      <name val="Arial"/>
      <scheme val="minor"/>
    </font>
    <font>
      <b/>
      <color rgb="FFFFFFFF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rgb="FF000000"/>
      <name val="Arial"/>
      <scheme val="minor"/>
    </font>
    <font>
      <b/>
      <color rgb="FFFF0000"/>
      <name val="Arial"/>
      <scheme val="minor"/>
    </font>
    <font>
      <b/>
      <sz val="14.0"/>
      <color rgb="FF0000FF"/>
      <name val="Arial"/>
      <scheme val="minor"/>
    </font>
    <font>
      <b/>
      <sz val="14.0"/>
      <color rgb="FFFF0000"/>
      <name val="Arial"/>
      <scheme val="minor"/>
    </font>
    <font>
      <b/>
      <color rgb="FF0000FF"/>
      <name val="Arial"/>
      <scheme val="minor"/>
    </font>
    <font>
      <color theme="1"/>
      <name val="Arial"/>
    </font>
    <font>
      <color rgb="FF0000FF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color rgb="FF000000"/>
      <name val="Arial"/>
    </font>
    <font>
      <color rgb="FF0000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0000FF"/>
        <bgColor rgb="FF0000FF"/>
      </patternFill>
    </fill>
    <fill>
      <patternFill patternType="solid">
        <fgColor rgb="FFF4CCCC"/>
        <bgColor rgb="FFF4CCCC"/>
      </patternFill>
    </fill>
  </fills>
  <borders count="9">
    <border/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2" fillId="0" fontId="2" numFmtId="0" xfId="0" applyBorder="1" applyFont="1"/>
    <xf borderId="0" fillId="0" fontId="2" numFmtId="164" xfId="0" applyFont="1" applyNumberFormat="1"/>
    <xf borderId="2" fillId="0" fontId="2" numFmtId="0" xfId="0" applyAlignment="1" applyBorder="1" applyFont="1">
      <alignment readingOrder="0"/>
    </xf>
    <xf borderId="0" fillId="0" fontId="3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1" fillId="3" fontId="2" numFmtId="0" xfId="0" applyAlignment="1" applyBorder="1" applyFill="1" applyFont="1">
      <alignment readingOrder="0"/>
    </xf>
    <xf borderId="0" fillId="3" fontId="2" numFmtId="0" xfId="0" applyAlignment="1" applyFont="1">
      <alignment readingOrder="0"/>
    </xf>
    <xf borderId="0" fillId="0" fontId="2" numFmtId="165" xfId="0" applyAlignment="1" applyFont="1" applyNumberFormat="1">
      <alignment readingOrder="0" vertical="center"/>
    </xf>
    <xf borderId="0" fillId="0" fontId="2" numFmtId="165" xfId="0" applyAlignment="1" applyFont="1" applyNumberFormat="1">
      <alignment readingOrder="0"/>
    </xf>
    <xf borderId="2" fillId="3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165" xfId="0" applyFont="1" applyNumberFormat="1"/>
    <xf borderId="1" fillId="4" fontId="3" numFmtId="0" xfId="0" applyAlignment="1" applyBorder="1" applyFill="1" applyFont="1">
      <alignment readingOrder="0"/>
    </xf>
    <xf borderId="0" fillId="4" fontId="3" numFmtId="0" xfId="0" applyAlignment="1" applyFont="1">
      <alignment readingOrder="0"/>
    </xf>
    <xf borderId="1" fillId="2" fontId="2" numFmtId="0" xfId="0" applyAlignment="1" applyBorder="1" applyFont="1">
      <alignment readingOrder="0"/>
    </xf>
    <xf borderId="0" fillId="2" fontId="3" numFmtId="0" xfId="0" applyFont="1"/>
    <xf borderId="1" fillId="5" fontId="3" numFmtId="0" xfId="0" applyAlignment="1" applyBorder="1" applyFill="1" applyFont="1">
      <alignment readingOrder="0"/>
    </xf>
    <xf borderId="0" fillId="5" fontId="3" numFmtId="0" xfId="0" applyAlignment="1" applyFont="1">
      <alignment readingOrder="0"/>
    </xf>
    <xf borderId="0" fillId="0" fontId="4" numFmtId="0" xfId="0" applyFont="1"/>
    <xf borderId="1" fillId="6" fontId="2" numFmtId="0" xfId="0" applyAlignment="1" applyBorder="1" applyFill="1" applyFont="1">
      <alignment readingOrder="0"/>
    </xf>
    <xf borderId="1" fillId="7" fontId="2" numFmtId="0" xfId="0" applyAlignment="1" applyBorder="1" applyFill="1" applyFont="1">
      <alignment readingOrder="0"/>
    </xf>
    <xf borderId="0" fillId="7" fontId="2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3" numFmtId="165" xfId="0" applyAlignment="1" applyFont="1" applyNumberFormat="1">
      <alignment readingOrder="0" vertical="center"/>
    </xf>
    <xf borderId="0" fillId="0" fontId="1" numFmtId="0" xfId="0" applyAlignment="1" applyFont="1">
      <alignment horizontal="right" vertical="center"/>
    </xf>
    <xf borderId="0" fillId="0" fontId="1" numFmtId="165" xfId="0" applyAlignment="1" applyFont="1" applyNumberFormat="1">
      <alignment horizontal="center" vertical="center"/>
    </xf>
    <xf borderId="0" fillId="0" fontId="2" numFmtId="0" xfId="0" applyAlignment="1" applyFont="1">
      <alignment horizontal="right" readingOrder="0"/>
    </xf>
    <xf borderId="0" fillId="0" fontId="2" numFmtId="166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1" fillId="8" fontId="2" numFmtId="0" xfId="0" applyAlignment="1" applyBorder="1" applyFill="1" applyFont="1">
      <alignment readingOrder="0"/>
    </xf>
    <xf borderId="0" fillId="8" fontId="2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0" fontId="3" numFmtId="165" xfId="0" applyFont="1" applyNumberFormat="1"/>
    <xf borderId="1" fillId="8" fontId="2" numFmtId="0" xfId="0" applyBorder="1" applyFont="1"/>
    <xf borderId="2" fillId="0" fontId="3" numFmtId="0" xfId="0" applyBorder="1" applyFont="1"/>
    <xf borderId="1" fillId="9" fontId="2" numFmtId="0" xfId="0" applyBorder="1" applyFill="1" applyFont="1"/>
    <xf borderId="0" fillId="9" fontId="3" numFmtId="0" xfId="0" applyFont="1"/>
    <xf borderId="0" fillId="0" fontId="3" numFmtId="0" xfId="0" applyFont="1"/>
    <xf borderId="0" fillId="0" fontId="2" numFmtId="0" xfId="0" applyFont="1"/>
    <xf borderId="3" fillId="0" fontId="2" numFmtId="0" xfId="0" applyAlignment="1" applyBorder="1" applyFont="1">
      <alignment readingOrder="0"/>
    </xf>
    <xf borderId="4" fillId="0" fontId="2" numFmtId="165" xfId="0" applyAlignment="1" applyBorder="1" applyFont="1" applyNumberFormat="1">
      <alignment readingOrder="0" vertical="center"/>
    </xf>
    <xf borderId="4" fillId="0" fontId="2" numFmtId="0" xfId="0" applyBorder="1" applyFont="1"/>
    <xf borderId="5" fillId="0" fontId="2" numFmtId="0" xfId="0" applyBorder="1" applyFont="1"/>
    <xf borderId="0" fillId="6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9" fontId="3" numFmtId="0" xfId="0" applyAlignment="1" applyFont="1">
      <alignment readingOrder="0"/>
    </xf>
    <xf borderId="0" fillId="5" fontId="3" numFmtId="165" xfId="0" applyAlignment="1" applyFont="1" applyNumberFormat="1">
      <alignment readingOrder="0"/>
    </xf>
    <xf borderId="0" fillId="2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5" numFmtId="165" xfId="0" applyFont="1" applyNumberFormat="1"/>
    <xf borderId="0" fillId="0" fontId="6" numFmtId="0" xfId="0" applyAlignment="1" applyFont="1">
      <alignment horizontal="right" readingOrder="0" vertical="center"/>
    </xf>
    <xf borderId="0" fillId="0" fontId="5" numFmtId="165" xfId="0" applyAlignment="1" applyFont="1" applyNumberFormat="1">
      <alignment horizontal="center" vertical="center"/>
    </xf>
    <xf borderId="0" fillId="0" fontId="1" numFmtId="0" xfId="0" applyFont="1"/>
    <xf borderId="0" fillId="2" fontId="3" numFmtId="165" xfId="0" applyFont="1" applyNumberFormat="1"/>
    <xf borderId="0" fillId="0" fontId="7" numFmtId="165" xfId="0" applyAlignment="1" applyFont="1" applyNumberFormat="1">
      <alignment horizontal="center" vertical="center"/>
    </xf>
    <xf borderId="0" fillId="0" fontId="2" numFmtId="165" xfId="0" applyAlignment="1" applyFont="1" applyNumberFormat="1">
      <alignment vertical="center"/>
    </xf>
    <xf borderId="0" fillId="4" fontId="3" numFmtId="165" xfId="0" applyAlignment="1" applyFont="1" applyNumberFormat="1">
      <alignment readingOrder="0" vertical="center"/>
    </xf>
    <xf borderId="0" fillId="2" fontId="1" numFmtId="165" xfId="0" applyAlignment="1" applyFont="1" applyNumberFormat="1">
      <alignment horizontal="center" vertical="center"/>
    </xf>
    <xf borderId="1" fillId="0" fontId="2" numFmtId="165" xfId="0" applyBorder="1" applyFont="1" applyNumberFormat="1"/>
    <xf borderId="0" fillId="7" fontId="2" numFmtId="0" xfId="0" applyFont="1"/>
    <xf borderId="0" fillId="7" fontId="2" numFmtId="165" xfId="0" applyAlignment="1" applyFont="1" applyNumberFormat="1">
      <alignment readingOrder="0" vertical="center"/>
    </xf>
    <xf borderId="1" fillId="10" fontId="2" numFmtId="0" xfId="0" applyAlignment="1" applyBorder="1" applyFill="1" applyFont="1">
      <alignment readingOrder="0"/>
    </xf>
    <xf borderId="0" fillId="10" fontId="2" numFmtId="165" xfId="0" applyAlignment="1" applyFont="1" applyNumberFormat="1">
      <alignment readingOrder="0" vertical="center"/>
    </xf>
    <xf borderId="0" fillId="10" fontId="2" numFmtId="0" xfId="0" applyAlignment="1" applyFont="1">
      <alignment readingOrder="0"/>
    </xf>
    <xf borderId="0" fillId="8" fontId="2" numFmtId="165" xfId="0" applyAlignment="1" applyFont="1" applyNumberFormat="1">
      <alignment readingOrder="0" vertical="center"/>
    </xf>
    <xf borderId="1" fillId="9" fontId="3" numFmtId="0" xfId="0" applyAlignment="1" applyBorder="1" applyFont="1">
      <alignment horizontal="center" readingOrder="0" shrinkToFit="0" vertical="center" wrapText="0"/>
    </xf>
    <xf borderId="0" fillId="9" fontId="5" numFmtId="165" xfId="0" applyFont="1" applyNumberFormat="1"/>
    <xf borderId="1" fillId="9" fontId="2" numFmtId="0" xfId="0" applyAlignment="1" applyBorder="1" applyFont="1">
      <alignment readingOrder="0"/>
    </xf>
    <xf borderId="0" fillId="9" fontId="7" numFmtId="165" xfId="0" applyAlignment="1" applyFont="1" applyNumberFormat="1">
      <alignment horizontal="center" vertical="center"/>
    </xf>
    <xf borderId="1" fillId="0" fontId="2" numFmtId="0" xfId="0" applyAlignment="1" applyBorder="1" applyFont="1">
      <alignment horizontal="center" readingOrder="0"/>
    </xf>
    <xf borderId="4" fillId="0" fontId="3" numFmtId="165" xfId="0" applyAlignment="1" applyBorder="1" applyFont="1" applyNumberFormat="1">
      <alignment horizontal="center" vertical="center"/>
    </xf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horizontal="right" readingOrder="0" vertical="center"/>
    </xf>
    <xf borderId="0" fillId="0" fontId="2" numFmtId="165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left" readingOrder="0" vertical="center"/>
    </xf>
    <xf borderId="0" fillId="4" fontId="3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right" vertical="center"/>
    </xf>
    <xf borderId="0" fillId="2" fontId="2" numFmtId="0" xfId="0" applyAlignment="1" applyFont="1">
      <alignment readingOrder="0"/>
    </xf>
    <xf borderId="0" fillId="9" fontId="8" numFmtId="0" xfId="0" applyAlignment="1" applyFont="1">
      <alignment readingOrder="0"/>
    </xf>
    <xf borderId="0" fillId="9" fontId="8" numFmtId="0" xfId="0" applyFont="1"/>
    <xf borderId="0" fillId="11" fontId="2" numFmtId="0" xfId="0" applyAlignment="1" applyFill="1" applyFont="1">
      <alignment readingOrder="0"/>
    </xf>
    <xf borderId="0" fillId="12" fontId="2" numFmtId="0" xfId="0" applyAlignment="1" applyFill="1" applyFont="1">
      <alignment readingOrder="0"/>
    </xf>
    <xf borderId="0" fillId="12" fontId="3" numFmtId="165" xfId="0" applyAlignment="1" applyFont="1" applyNumberFormat="1">
      <alignment readingOrder="0"/>
    </xf>
    <xf borderId="0" fillId="12" fontId="2" numFmtId="0" xfId="0" applyFont="1"/>
    <xf borderId="0" fillId="4" fontId="2" numFmtId="0" xfId="0" applyAlignment="1" applyFont="1">
      <alignment readingOrder="0"/>
    </xf>
    <xf borderId="0" fillId="13" fontId="2" numFmtId="0" xfId="0" applyAlignment="1" applyFill="1" applyFont="1">
      <alignment readingOrder="0"/>
    </xf>
    <xf borderId="0" fillId="12" fontId="3" numFmtId="165" xfId="0" applyFont="1" applyNumberFormat="1"/>
    <xf borderId="0" fillId="14" fontId="2" numFmtId="0" xfId="0" applyAlignment="1" applyFill="1" applyFont="1">
      <alignment readingOrder="0"/>
    </xf>
    <xf borderId="0" fillId="14" fontId="2" numFmtId="165" xfId="0" applyFont="1" applyNumberFormat="1"/>
    <xf borderId="0" fillId="0" fontId="9" numFmtId="0" xfId="0" applyAlignment="1" applyFont="1">
      <alignment horizontal="right"/>
    </xf>
    <xf borderId="0" fillId="0" fontId="10" numFmtId="0" xfId="0" applyAlignment="1" applyFont="1">
      <alignment horizontal="right"/>
    </xf>
    <xf borderId="0" fillId="0" fontId="2" numFmtId="168" xfId="0" applyAlignment="1" applyFont="1" applyNumberFormat="1">
      <alignment readingOrder="0"/>
    </xf>
    <xf borderId="0" fillId="9" fontId="3" numFmtId="0" xfId="0" applyAlignment="1" applyFont="1">
      <alignment horizontal="center" readingOrder="0" shrinkToFit="0" vertical="center" wrapText="0"/>
    </xf>
    <xf borderId="0" fillId="0" fontId="1" numFmtId="165" xfId="0" applyFont="1" applyNumberFormat="1"/>
    <xf borderId="0" fillId="9" fontId="2" numFmtId="0" xfId="0" applyAlignment="1" applyFont="1">
      <alignment readingOrder="0"/>
    </xf>
    <xf borderId="0" fillId="0" fontId="3" numFmtId="165" xfId="0" applyAlignment="1" applyFont="1" applyNumberFormat="1">
      <alignment horizontal="center"/>
    </xf>
    <xf borderId="0" fillId="7" fontId="3" numFmtId="165" xfId="0" applyAlignment="1" applyFont="1" applyNumberFormat="1">
      <alignment readingOrder="0"/>
    </xf>
    <xf borderId="0" fillId="0" fontId="2" numFmtId="166" xfId="0" applyAlignment="1" applyFont="1" applyNumberFormat="1">
      <alignment horizontal="right" readingOrder="0"/>
    </xf>
    <xf borderId="0" fillId="14" fontId="2" numFmtId="0" xfId="0" applyFont="1"/>
    <xf borderId="0" fillId="9" fontId="5" numFmtId="165" xfId="0" applyAlignment="1" applyFont="1" applyNumberFormat="1">
      <alignment horizontal="center" vertical="center"/>
    </xf>
    <xf borderId="6" fillId="2" fontId="1" numFmtId="0" xfId="0" applyAlignment="1" applyBorder="1" applyFont="1">
      <alignment horizontal="center" readingOrder="0" shrinkToFit="0" vertical="center" wrapText="1"/>
    </xf>
    <xf borderId="7" fillId="2" fontId="1" numFmtId="164" xfId="0" applyAlignment="1" applyBorder="1" applyFont="1" applyNumberFormat="1">
      <alignment horizontal="center" readingOrder="0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readingOrder="0"/>
    </xf>
    <xf borderId="2" fillId="0" fontId="2" numFmtId="0" xfId="0" applyBorder="1" applyFont="1"/>
    <xf borderId="0" fillId="0" fontId="2" numFmtId="16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1" fillId="0" fontId="2" numFmtId="0" xfId="0" applyBorder="1" applyFont="1"/>
    <xf borderId="2" fillId="0" fontId="4" numFmtId="0" xfId="0" applyBorder="1" applyFont="1"/>
    <xf borderId="1" fillId="4" fontId="3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readingOrder="0"/>
    </xf>
    <xf borderId="1" fillId="9" fontId="8" numFmtId="0" xfId="0" applyAlignment="1" applyBorder="1" applyFont="1">
      <alignment readingOrder="0"/>
    </xf>
    <xf borderId="0" fillId="0" fontId="2" numFmtId="169" xfId="0" applyAlignment="1" applyFont="1" applyNumberFormat="1">
      <alignment horizontal="right" readingOrder="0"/>
    </xf>
    <xf borderId="1" fillId="9" fontId="2" numFmtId="0" xfId="0" applyAlignment="1" applyBorder="1" applyFont="1">
      <alignment readingOrder="0"/>
    </xf>
    <xf borderId="0" fillId="0" fontId="2" numFmtId="0" xfId="0" applyFont="1"/>
    <xf borderId="1" fillId="9" fontId="8" numFmtId="0" xfId="0" applyBorder="1" applyFont="1"/>
    <xf borderId="1" fillId="0" fontId="2" numFmtId="168" xfId="0" applyAlignment="1" applyBorder="1" applyFont="1" applyNumberFormat="1">
      <alignment readingOrder="0"/>
    </xf>
    <xf borderId="0" fillId="6" fontId="2" numFmtId="0" xfId="0" applyFont="1"/>
    <xf borderId="0" fillId="6" fontId="3" numFmtId="165" xfId="0" applyAlignment="1" applyFont="1" applyNumberFormat="1">
      <alignment readingOrder="0"/>
    </xf>
    <xf borderId="0" fillId="6" fontId="3" numFmtId="165" xfId="0" applyFont="1" applyNumberFormat="1"/>
    <xf borderId="1" fillId="0" fontId="2" numFmtId="0" xfId="0" applyAlignment="1" applyBorder="1" applyFont="1">
      <alignment horizontal="left" readingOrder="0"/>
    </xf>
    <xf borderId="0" fillId="0" fontId="2" numFmtId="168" xfId="0" applyFont="1" applyNumberFormat="1"/>
    <xf borderId="0" fillId="0" fontId="2" numFmtId="171" xfId="0" applyAlignment="1" applyFont="1" applyNumberFormat="1">
      <alignment readingOrder="0"/>
    </xf>
    <xf borderId="0" fillId="0" fontId="11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1" fillId="9" fontId="3" numFmtId="0" xfId="0" applyAlignment="1" applyBorder="1" applyFont="1">
      <alignment horizontal="center" readingOrder="0" shrinkToFit="0" vertical="center" wrapText="0"/>
    </xf>
    <xf borderId="2" fillId="0" fontId="1" numFmtId="165" xfId="0" applyBorder="1" applyFont="1" applyNumberFormat="1"/>
    <xf borderId="1" fillId="0" fontId="2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0" fillId="0" fontId="2" numFmtId="172" xfId="0" applyAlignment="1" applyFont="1" applyNumberFormat="1">
      <alignment readingOrder="0"/>
    </xf>
    <xf borderId="0" fillId="15" fontId="3" numFmtId="165" xfId="0" applyFill="1" applyFont="1" applyNumberFormat="1"/>
    <xf borderId="0" fillId="15" fontId="3" numFmtId="0" xfId="0" applyFont="1"/>
    <xf borderId="1" fillId="0" fontId="3" numFmtId="0" xfId="0" applyAlignment="1" applyBorder="1" applyFont="1">
      <alignment readingOrder="0"/>
    </xf>
    <xf borderId="0" fillId="0" fontId="3" numFmtId="164" xfId="0" applyAlignment="1" applyFont="1" applyNumberFormat="1">
      <alignment horizontal="right" readingOrder="0"/>
    </xf>
    <xf borderId="0" fillId="15" fontId="3" numFmtId="0" xfId="0" applyAlignment="1" applyFont="1">
      <alignment readingOrder="0"/>
    </xf>
    <xf borderId="0" fillId="0" fontId="12" numFmtId="0" xfId="0" applyFont="1"/>
    <xf borderId="0" fillId="0" fontId="3" numFmtId="0" xfId="0" applyAlignment="1" applyFont="1">
      <alignment horizontal="right" readingOrder="0"/>
    </xf>
    <xf borderId="7" fillId="2" fontId="13" numFmtId="0" xfId="0" applyAlignment="1" applyBorder="1" applyFont="1">
      <alignment horizontal="center" shrinkToFit="0" vertical="center" wrapText="1"/>
    </xf>
    <xf borderId="7" fillId="2" fontId="1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right" readingOrder="0"/>
    </xf>
    <xf borderId="0" fillId="0" fontId="15" numFmtId="168" xfId="0" applyAlignment="1" applyFont="1" applyNumberFormat="1">
      <alignment readingOrder="0"/>
    </xf>
    <xf borderId="0" fillId="0" fontId="15" numFmtId="0" xfId="0" applyFont="1"/>
    <xf borderId="0" fillId="0" fontId="15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15" numFmtId="0" xfId="0" applyAlignment="1" applyFont="1">
      <alignment horizontal="center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9" fontId="2" numFmtId="0" xfId="0" applyFont="1"/>
    <xf borderId="0" fillId="15" fontId="2" numFmtId="0" xfId="0" applyFont="1"/>
    <xf borderId="0" fillId="0" fontId="17" numFmtId="0" xfId="0" applyAlignment="1" applyFont="1">
      <alignment horizontal="right" readingOrder="0"/>
    </xf>
    <xf borderId="0" fillId="0" fontId="17" numFmtId="0" xfId="0" applyAlignment="1" applyFont="1">
      <alignment readingOrder="0"/>
    </xf>
    <xf borderId="0" fillId="0" fontId="18" numFmtId="168" xfId="0" applyAlignment="1" applyFont="1" applyNumberFormat="1">
      <alignment horizontal="right" readingOrder="0"/>
    </xf>
    <xf borderId="0" fillId="0" fontId="17" numFmtId="0" xfId="0" applyFont="1"/>
    <xf borderId="0" fillId="0" fontId="18" numFmtId="0" xfId="0" applyAlignment="1" applyFont="1">
      <alignment horizontal="right"/>
    </xf>
    <xf borderId="0" fillId="0" fontId="18" numFmtId="170" xfId="0" applyAlignment="1" applyFont="1" applyNumberFormat="1">
      <alignment horizontal="right" readingOrder="0"/>
    </xf>
    <xf borderId="0" fillId="0" fontId="18" numFmtId="0" xfId="0" applyAlignment="1" applyFont="1">
      <alignment horizontal="right" readingOrder="0"/>
    </xf>
    <xf borderId="0" fillId="0" fontId="11" numFmtId="0" xfId="0" applyAlignment="1" applyFont="1">
      <alignment horizontal="right"/>
    </xf>
    <xf borderId="0" fillId="0" fontId="11" numFmtId="0" xfId="0" applyAlignment="1" applyFont="1">
      <alignment horizontal="right" readingOrder="0"/>
    </xf>
    <xf borderId="0" fillId="0" fontId="19" numFmtId="0" xfId="0" applyAlignment="1" applyFont="1">
      <alignment readingOrder="0"/>
    </xf>
    <xf borderId="0" fillId="0" fontId="19" numFmtId="0" xfId="0" applyFont="1"/>
    <xf borderId="0" fillId="0" fontId="12" numFmtId="0" xfId="0" applyAlignment="1" applyFont="1">
      <alignment readingOrder="0"/>
    </xf>
    <xf borderId="0" fillId="0" fontId="2" numFmtId="170" xfId="0" applyAlignment="1" applyFont="1" applyNumberFormat="1">
      <alignment horizontal="right" readingOrder="0"/>
    </xf>
    <xf borderId="0" fillId="0" fontId="2" numFmtId="173" xfId="0" applyAlignment="1" applyFont="1" applyNumberFormat="1">
      <alignment readingOrder="0"/>
    </xf>
    <xf borderId="0" fillId="0" fontId="2" numFmtId="174" xfId="0" applyAlignment="1" applyFont="1" applyNumberFormat="1">
      <alignment readingOrder="0"/>
    </xf>
    <xf borderId="0" fillId="0" fontId="19" numFmtId="0" xfId="0" applyAlignment="1" applyFont="1">
      <alignment horizontal="right" readingOrder="0"/>
    </xf>
    <xf borderId="0" fillId="2" fontId="3" numFmtId="0" xfId="0" applyAlignment="1" applyFont="1">
      <alignment horizontal="center" readingOrder="0"/>
    </xf>
    <xf borderId="6" fillId="0" fontId="2" numFmtId="0" xfId="0" applyAlignment="1" applyBorder="1" applyFont="1">
      <alignment readingOrder="0"/>
    </xf>
    <xf borderId="8" fillId="0" fontId="15" numFmtId="0" xfId="0" applyAlignment="1" applyBorder="1" applyFont="1">
      <alignment readingOrder="0"/>
    </xf>
    <xf borderId="0" fillId="0" fontId="2" numFmtId="4" xfId="0" applyAlignment="1" applyFont="1" applyNumberFormat="1">
      <alignment readingOrder="0"/>
    </xf>
    <xf borderId="3" fillId="0" fontId="2" numFmtId="0" xfId="0" applyAlignment="1" applyBorder="1" applyFont="1">
      <alignment readingOrder="0"/>
    </xf>
    <xf borderId="5" fillId="0" fontId="12" numFmtId="0" xfId="0" applyBorder="1" applyFont="1"/>
    <xf borderId="0" fillId="15" fontId="8" numFmtId="0" xfId="0" applyAlignment="1" applyFont="1">
      <alignment readingOrder="0"/>
    </xf>
    <xf borderId="0" fillId="15" fontId="8" numFmtId="0" xfId="0" applyFont="1"/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vertical="bottom"/>
    </xf>
    <xf borderId="0" fillId="0" fontId="2" numFmtId="175" xfId="0" applyAlignment="1" applyFont="1" applyNumberFormat="1">
      <alignment readingOrder="0"/>
    </xf>
    <xf borderId="0" fillId="0" fontId="3" numFmtId="164" xfId="0" applyAlignment="1" applyFont="1" applyNumberFormat="1">
      <alignment horizontal="left" readingOrder="0"/>
    </xf>
    <xf borderId="0" fillId="6" fontId="2" numFmtId="0" xfId="0" applyAlignment="1" applyFont="1">
      <alignment horizontal="right" readingOrder="0"/>
    </xf>
    <xf borderId="0" fillId="6" fontId="18" numFmtId="0" xfId="0" applyAlignment="1" applyFont="1">
      <alignment horizontal="right" readingOrder="0"/>
    </xf>
    <xf borderId="0" fillId="6" fontId="3" numFmtId="0" xfId="0" applyAlignment="1" applyFont="1">
      <alignment readingOrder="0"/>
    </xf>
    <xf borderId="0" fillId="6" fontId="11" numFmtId="0" xfId="0" applyAlignment="1" applyFont="1">
      <alignment readingOrder="0"/>
    </xf>
    <xf borderId="0" fillId="0" fontId="19" numFmtId="0" xfId="0" applyAlignment="1" applyFont="1">
      <alignment horizontal="left" readingOrder="0"/>
    </xf>
    <xf borderId="0" fillId="0" fontId="12" numFmtId="0" xfId="0" applyAlignment="1" applyFont="1">
      <alignment horizontal="right"/>
    </xf>
    <xf borderId="0" fillId="6" fontId="18" numFmtId="0" xfId="0" applyFont="1"/>
    <xf borderId="0" fillId="6" fontId="2" numFmtId="4" xfId="0" applyAlignment="1" applyFont="1" applyNumberFormat="1">
      <alignment readingOrder="0"/>
    </xf>
    <xf borderId="0" fillId="6" fontId="18" numFmtId="4" xfId="0" applyAlignment="1" applyFont="1" applyNumberFormat="1">
      <alignment readingOrder="0"/>
    </xf>
    <xf borderId="0" fillId="6" fontId="3" numFmtId="0" xfId="0" applyFont="1"/>
    <xf borderId="0" fillId="6" fontId="11" numFmtId="0" xfId="0" applyFont="1"/>
    <xf borderId="6" fillId="6" fontId="2" numFmtId="0" xfId="0" applyAlignment="1" applyBorder="1" applyFont="1">
      <alignment readingOrder="0"/>
    </xf>
    <xf borderId="0" fillId="0" fontId="19" numFmtId="4" xfId="0" applyAlignment="1" applyFont="1" applyNumberFormat="1">
      <alignment readingOrder="0"/>
    </xf>
    <xf borderId="6" fillId="6" fontId="18" numFmtId="0" xfId="0" applyAlignment="1" applyBorder="1" applyFont="1">
      <alignment readingOrder="0"/>
    </xf>
    <xf borderId="3" fillId="6" fontId="2" numFmtId="0" xfId="0" applyAlignment="1" applyBorder="1" applyFont="1">
      <alignment readingOrder="0"/>
    </xf>
    <xf borderId="5" fillId="0" fontId="15" numFmtId="0" xfId="0" applyBorder="1" applyFont="1"/>
    <xf borderId="3" fillId="6" fontId="18" numFmtId="0" xfId="0" applyAlignment="1" applyBorder="1" applyFont="1">
      <alignment readingOrder="0"/>
    </xf>
    <xf borderId="0" fillId="6" fontId="18" numFmtId="0" xfId="0" applyAlignment="1" applyFont="1">
      <alignment readingOrder="0"/>
    </xf>
    <xf borderId="0" fillId="0" fontId="12" numFmtId="0" xfId="0" applyAlignment="1" applyFont="1">
      <alignment horizontal="right" readingOrder="0"/>
    </xf>
    <xf borderId="0" fillId="0" fontId="16" numFmtId="0" xfId="0" applyAlignment="1" applyFont="1">
      <alignment horizontal="right" readingOrder="0" vertical="bottom"/>
    </xf>
    <xf borderId="0" fillId="6" fontId="16" numFmtId="0" xfId="0" applyAlignment="1" applyFont="1">
      <alignment horizontal="right" readingOrder="0" vertical="bottom"/>
    </xf>
    <xf borderId="0" fillId="6" fontId="20" numFmtId="0" xfId="0" applyAlignment="1" applyFont="1">
      <alignment horizontal="right" readingOrder="0" vertical="bottom"/>
    </xf>
    <xf borderId="0" fillId="6" fontId="16" numFmtId="0" xfId="0" applyAlignment="1" applyFont="1">
      <alignment vertical="bottom"/>
    </xf>
    <xf borderId="0" fillId="0" fontId="21" numFmtId="0" xfId="0" applyAlignment="1" applyFont="1">
      <alignment readingOrder="0" vertical="bottom"/>
    </xf>
    <xf borderId="0" fillId="6" fontId="20" numFmtId="0" xfId="0" applyAlignment="1" applyFont="1">
      <alignment readingOrder="0" vertical="bottom"/>
    </xf>
    <xf borderId="0" fillId="6" fontId="16" numFmtId="0" xfId="0" applyAlignment="1" applyFont="1">
      <alignment readingOrder="0" vertical="bottom"/>
    </xf>
    <xf borderId="0" fillId="0" fontId="21" numFmtId="0" xfId="0" applyAlignment="1" applyFont="1">
      <alignment vertical="bottom"/>
    </xf>
    <xf borderId="0" fillId="6" fontId="16" numFmtId="0" xfId="0" applyAlignment="1" applyFont="1">
      <alignment horizontal="right" vertical="bottom"/>
    </xf>
    <xf borderId="0" fillId="0" fontId="21" numFmtId="0" xfId="0" applyAlignment="1" applyFont="1">
      <alignment horizontal="right" readingOrder="0" vertical="bottom"/>
    </xf>
    <xf borderId="0" fillId="0" fontId="16" numFmtId="0" xfId="0" applyAlignment="1" applyFont="1">
      <alignment horizontal="left" readingOrder="0" vertical="bottom"/>
    </xf>
    <xf borderId="0" fillId="6" fontId="2" numFmtId="176" xfId="0" applyAlignment="1" applyFont="1" applyNumberFormat="1">
      <alignment readingOrder="0"/>
    </xf>
    <xf borderId="0" fillId="6" fontId="18" numFmtId="176" xfId="0" applyAlignment="1" applyFont="1" applyNumberFormat="1">
      <alignment readingOrder="0"/>
    </xf>
    <xf borderId="0" fillId="6" fontId="2" numFmtId="175" xfId="0" applyAlignment="1" applyFont="1" applyNumberFormat="1">
      <alignment readingOrder="0"/>
    </xf>
    <xf borderId="0" fillId="6" fontId="3" numFmtId="0" xfId="0" applyAlignment="1" applyFont="1">
      <alignment horizontal="right" readingOrder="0"/>
    </xf>
    <xf borderId="0" fillId="6" fontId="11" numFmtId="0" xfId="0" applyAlignment="1" applyFont="1">
      <alignment horizontal="right" readingOrder="0"/>
    </xf>
    <xf borderId="0" fillId="0" fontId="18" numFmtId="0" xfId="0" applyFont="1"/>
    <xf borderId="0" fillId="0" fontId="5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0" fillId="0" fontId="2" numFmtId="165" xfId="0" applyAlignment="1" applyFont="1" applyNumberFormat="1">
      <alignment horizontal="center" readingOrder="0"/>
    </xf>
    <xf borderId="0" fillId="16" fontId="1" numFmtId="165" xfId="0" applyAlignment="1" applyFill="1" applyFont="1" applyNumberFormat="1">
      <alignment horizontal="center"/>
    </xf>
    <xf borderId="0" fillId="9" fontId="2" numFmtId="0" xfId="0" applyAlignment="1" applyFont="1">
      <alignment horizontal="center" readingOrder="0"/>
    </xf>
    <xf borderId="0" fillId="15" fontId="2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'2025'!$H$249:$H$258</c:f>
            </c:strRef>
          </c:cat>
          <c:val>
            <c:numRef>
              <c:f>'2025'!$I$249:$I$258</c:f>
              <c:numCache/>
            </c:numRef>
          </c:val>
        </c:ser>
        <c:axId val="424111021"/>
        <c:axId val="1117006338"/>
      </c:barChart>
      <c:catAx>
        <c:axId val="4241110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7006338"/>
      </c:catAx>
      <c:valAx>
        <c:axId val="11170063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411102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cat>
            <c:strRef>
              <c:f>'2025'!$H$265:$H$267</c:f>
            </c:strRef>
          </c:cat>
          <c:val>
            <c:numRef>
              <c:f>'2025'!$I$265:$I$267</c:f>
              <c:numCache/>
            </c:numRef>
          </c:val>
        </c:ser>
        <c:axId val="213278491"/>
        <c:axId val="738965566"/>
      </c:barChart>
      <c:catAx>
        <c:axId val="2132784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8965566"/>
      </c:catAx>
      <c:valAx>
        <c:axId val="7389655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27849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'Jan 26'!$B$1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'Jan 26'!$A$2:$A$8</c:f>
            </c:strRef>
          </c:cat>
          <c:val>
            <c:numRef>
              <c:f>'Jan 26'!$B$2:$B$8</c:f>
              <c:numCache/>
            </c:numRef>
          </c:val>
        </c:ser>
        <c:ser>
          <c:idx val="1"/>
          <c:order val="1"/>
          <c:tx>
            <c:strRef>
              <c:f>'Jan 26'!$C$1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'Jan 26'!$A$2:$A$8</c:f>
            </c:strRef>
          </c:cat>
          <c:val>
            <c:numRef>
              <c:f>'Jan 26'!$C$2:$C$8</c:f>
              <c:numCache/>
            </c:numRef>
          </c:val>
        </c:ser>
        <c:ser>
          <c:idx val="2"/>
          <c:order val="2"/>
          <c:tx>
            <c:strRef>
              <c:f>'Jan 26'!$D$1</c:f>
            </c:strRef>
          </c:tx>
          <c:cat>
            <c:strRef>
              <c:f>'Jan 26'!$A$2:$A$8</c:f>
            </c:strRef>
          </c:cat>
          <c:val>
            <c:numRef>
              <c:f>'Jan 26'!$D$2:$D$8</c:f>
              <c:numCache/>
            </c:numRef>
          </c:val>
        </c:ser>
        <c:ser>
          <c:idx val="3"/>
          <c:order val="3"/>
          <c:tx>
            <c:strRef>
              <c:f>'Jan 26'!$E$1</c:f>
            </c:strRef>
          </c:tx>
          <c:cat>
            <c:strRef>
              <c:f>'Jan 26'!$A$2:$A$8</c:f>
            </c:strRef>
          </c:cat>
          <c:val>
            <c:numRef>
              <c:f>'Jan 26'!$E$2:$E$8</c:f>
              <c:numCache/>
            </c:numRef>
          </c:val>
        </c:ser>
        <c:ser>
          <c:idx val="4"/>
          <c:order val="4"/>
          <c:tx>
            <c:strRef>
              <c:f>'Jan 26'!$F$1</c:f>
            </c:strRef>
          </c:tx>
          <c:cat>
            <c:strRef>
              <c:f>'Jan 26'!$A$2:$A$8</c:f>
            </c:strRef>
          </c:cat>
          <c:val>
            <c:numRef>
              <c:f>'Jan 26'!$F$2:$F$8</c:f>
              <c:numCache/>
            </c:numRef>
          </c:val>
        </c:ser>
        <c:ser>
          <c:idx val="5"/>
          <c:order val="5"/>
          <c:tx>
            <c:strRef>
              <c:f>'Jan 26'!$G$1</c:f>
            </c:strRef>
          </c:tx>
          <c:cat>
            <c:strRef>
              <c:f>'Jan 26'!$A$2:$A$8</c:f>
            </c:strRef>
          </c:cat>
          <c:val>
            <c:numRef>
              <c:f>'Jan 26'!$G$2:$G$8</c:f>
              <c:numCache/>
            </c:numRef>
          </c:val>
        </c:ser>
        <c:axId val="506334102"/>
        <c:axId val="1366753041"/>
      </c:barChart>
      <c:catAx>
        <c:axId val="506334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6753041"/>
      </c:catAx>
      <c:valAx>
        <c:axId val="13667530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63341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942975</xdr:colOff>
      <xdr:row>234</xdr:row>
      <xdr:rowOff>161925</xdr:rowOff>
    </xdr:from>
    <xdr:ext cx="4257675" cy="26289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9525</xdr:colOff>
      <xdr:row>267</xdr:row>
      <xdr:rowOff>0</xdr:rowOff>
    </xdr:from>
    <xdr:ext cx="3895725" cy="24193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1" max="21" width="12.25"/>
    <col customWidth="1" min="24" max="24" width="8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5" t="s">
        <v>2</v>
      </c>
      <c r="B2" s="6" t="s">
        <v>3</v>
      </c>
      <c r="D2" s="7"/>
      <c r="Y2" s="8"/>
    </row>
    <row r="3">
      <c r="A3" s="5" t="s">
        <v>4</v>
      </c>
      <c r="B3" s="6">
        <v>8000.0</v>
      </c>
      <c r="C3" s="6" t="s">
        <v>5</v>
      </c>
      <c r="D3" s="9">
        <v>2500.0</v>
      </c>
      <c r="Y3" s="8"/>
    </row>
    <row r="4">
      <c r="A4" s="5" t="s">
        <v>6</v>
      </c>
      <c r="B4" s="6">
        <v>11000.0</v>
      </c>
      <c r="C4" s="6" t="s">
        <v>7</v>
      </c>
      <c r="D4" s="9">
        <v>1600.0</v>
      </c>
      <c r="X4" s="6"/>
      <c r="Y4" s="10"/>
    </row>
    <row r="5">
      <c r="A5" s="5" t="s">
        <v>8</v>
      </c>
      <c r="B5" s="6">
        <v>2000.0</v>
      </c>
      <c r="C5" s="6" t="s">
        <v>9</v>
      </c>
      <c r="D5" s="9">
        <v>360.0</v>
      </c>
      <c r="X5" s="6"/>
      <c r="Y5" s="11"/>
      <c r="Z5" s="12"/>
    </row>
    <row r="6">
      <c r="A6" s="13" t="s">
        <v>10</v>
      </c>
      <c r="B6" s="14">
        <v>1500.0</v>
      </c>
      <c r="C6" s="6" t="s">
        <v>11</v>
      </c>
      <c r="D6" s="9">
        <v>220.0</v>
      </c>
      <c r="X6" s="6"/>
      <c r="Y6" s="15"/>
      <c r="Z6" s="16"/>
    </row>
    <row r="7">
      <c r="A7" s="13" t="s">
        <v>12</v>
      </c>
      <c r="B7" s="14">
        <v>320.0</v>
      </c>
      <c r="C7" s="14" t="s">
        <v>13</v>
      </c>
      <c r="D7" s="17">
        <v>320.0</v>
      </c>
      <c r="X7" s="6"/>
      <c r="Y7" s="15"/>
      <c r="Z7" s="16"/>
    </row>
    <row r="8">
      <c r="A8" s="13" t="s">
        <v>14</v>
      </c>
      <c r="B8" s="14">
        <v>412.0</v>
      </c>
      <c r="C8" s="14" t="s">
        <v>15</v>
      </c>
      <c r="D8" s="17">
        <v>88.0</v>
      </c>
      <c r="X8" s="6"/>
      <c r="Y8" s="15"/>
      <c r="Z8" s="16"/>
    </row>
    <row r="9">
      <c r="A9" s="13" t="s">
        <v>16</v>
      </c>
      <c r="B9" s="14">
        <v>470.0</v>
      </c>
      <c r="D9" s="7"/>
      <c r="X9" s="6"/>
      <c r="Y9" s="16"/>
      <c r="Z9" s="16"/>
    </row>
    <row r="10">
      <c r="A10" s="13" t="s">
        <v>17</v>
      </c>
      <c r="B10" s="14">
        <v>400.0</v>
      </c>
      <c r="C10" s="14" t="s">
        <v>18</v>
      </c>
      <c r="D10" s="17">
        <v>100.0</v>
      </c>
      <c r="X10" s="6"/>
      <c r="Y10" s="16"/>
      <c r="Z10" s="16"/>
    </row>
    <row r="11">
      <c r="A11" s="18"/>
      <c r="D11" s="7"/>
      <c r="X11" s="6"/>
      <c r="Y11" s="19"/>
      <c r="Z11" s="19"/>
    </row>
    <row r="12">
      <c r="A12" s="18"/>
      <c r="D12" s="7"/>
      <c r="X12" s="6"/>
      <c r="Y12" s="19"/>
      <c r="Z12" s="19"/>
    </row>
    <row r="13">
      <c r="A13" s="20" t="s">
        <v>19</v>
      </c>
      <c r="B13" s="21">
        <v>9620.0</v>
      </c>
      <c r="D13" s="7"/>
      <c r="X13" s="6"/>
      <c r="Y13" s="16"/>
      <c r="Z13" s="16"/>
    </row>
    <row r="14">
      <c r="A14" s="22" t="s">
        <v>20</v>
      </c>
      <c r="B14" s="23">
        <f>SUM(B2:B13)</f>
        <v>33722</v>
      </c>
      <c r="D14" s="7"/>
      <c r="X14" s="6"/>
      <c r="Y14" s="19"/>
      <c r="Z14" s="19"/>
    </row>
    <row r="15">
      <c r="A15" s="24" t="s">
        <v>21</v>
      </c>
      <c r="B15" s="25">
        <v>550.0</v>
      </c>
      <c r="D15" s="7"/>
      <c r="X15" s="6"/>
      <c r="Y15" s="19"/>
      <c r="Z15" s="19"/>
      <c r="AC15" s="26"/>
    </row>
    <row r="16">
      <c r="A16" s="27" t="s">
        <v>22</v>
      </c>
      <c r="B16" s="6">
        <v>7600.0</v>
      </c>
      <c r="D16" s="7"/>
      <c r="X16" s="6"/>
      <c r="Y16" s="16"/>
      <c r="Z16" s="16"/>
    </row>
    <row r="17">
      <c r="A17" s="27" t="s">
        <v>23</v>
      </c>
      <c r="B17" s="6">
        <v>1915.0</v>
      </c>
      <c r="D17" s="7"/>
      <c r="Y17" s="19"/>
      <c r="Z17" s="19"/>
    </row>
    <row r="18">
      <c r="A18" s="27" t="s">
        <v>24</v>
      </c>
      <c r="B18" s="6" t="s">
        <v>25</v>
      </c>
      <c r="D18" s="7"/>
      <c r="Y18" s="19"/>
      <c r="Z18" s="19"/>
    </row>
    <row r="19">
      <c r="A19" s="18">
        <f>SUM(B16:B18)</f>
        <v>9515</v>
      </c>
      <c r="D19" s="7"/>
      <c r="Y19" s="19"/>
      <c r="Z19" s="19"/>
    </row>
    <row r="20">
      <c r="A20" s="28" t="s">
        <v>26</v>
      </c>
      <c r="B20" s="29">
        <v>250.0</v>
      </c>
      <c r="D20" s="7"/>
      <c r="Y20" s="19"/>
      <c r="Z20" s="19"/>
    </row>
    <row r="21">
      <c r="A21" s="28" t="s">
        <v>27</v>
      </c>
      <c r="B21" s="29">
        <v>3500.0</v>
      </c>
      <c r="D21" s="7"/>
      <c r="Y21" s="19"/>
      <c r="Z21" s="19"/>
    </row>
    <row r="22">
      <c r="A22" s="28" t="s">
        <v>28</v>
      </c>
      <c r="B22" s="29">
        <v>1200.0</v>
      </c>
      <c r="D22" s="7"/>
      <c r="Y22" s="19"/>
      <c r="Z22" s="19"/>
    </row>
    <row r="23">
      <c r="A23" s="28" t="s">
        <v>29</v>
      </c>
      <c r="B23" s="29">
        <v>500.0</v>
      </c>
      <c r="D23" s="7"/>
      <c r="X23" s="30"/>
      <c r="Y23" s="31"/>
      <c r="Z23" s="32"/>
    </row>
    <row r="24">
      <c r="A24" s="28" t="s">
        <v>30</v>
      </c>
      <c r="B24" s="29">
        <v>200.0</v>
      </c>
      <c r="D24" s="7"/>
      <c r="X24" s="6"/>
      <c r="Y24" s="33"/>
    </row>
    <row r="25">
      <c r="A25" s="28" t="s">
        <v>31</v>
      </c>
      <c r="B25" s="29">
        <v>490.0</v>
      </c>
      <c r="D25" s="7"/>
      <c r="X25" s="6"/>
      <c r="Y25" s="31"/>
    </row>
    <row r="26">
      <c r="A26" s="28" t="s">
        <v>32</v>
      </c>
      <c r="B26" s="29">
        <v>2060.0</v>
      </c>
      <c r="D26" s="7"/>
      <c r="X26" s="6"/>
      <c r="Y26" s="15"/>
    </row>
    <row r="27">
      <c r="A27" s="28" t="s">
        <v>33</v>
      </c>
      <c r="B27" s="29">
        <v>90.0</v>
      </c>
      <c r="D27" s="7"/>
      <c r="X27" s="6"/>
      <c r="Y27" s="15"/>
      <c r="Z27" s="34"/>
    </row>
    <row r="28">
      <c r="A28" s="18">
        <f>SUM(B20:B27)</f>
        <v>8290</v>
      </c>
      <c r="D28" s="7"/>
      <c r="X28" s="6"/>
      <c r="Y28" s="16"/>
      <c r="Z28" s="35"/>
      <c r="AB28" s="36"/>
      <c r="AC28" s="6"/>
    </row>
    <row r="29">
      <c r="A29" s="37" t="s">
        <v>34</v>
      </c>
      <c r="B29" s="38">
        <v>220.0</v>
      </c>
      <c r="C29" s="39">
        <v>45667.0</v>
      </c>
      <c r="D29" s="7"/>
      <c r="Y29" s="15"/>
      <c r="Z29" s="35"/>
    </row>
    <row r="30">
      <c r="A30" s="37" t="s">
        <v>35</v>
      </c>
      <c r="B30" s="38">
        <v>800.0</v>
      </c>
      <c r="C30" s="39">
        <v>45667.0</v>
      </c>
      <c r="D30" s="7"/>
      <c r="Y30" s="16"/>
      <c r="Z30" s="35"/>
      <c r="AB30" s="40"/>
    </row>
    <row r="31">
      <c r="A31" s="37" t="s">
        <v>36</v>
      </c>
      <c r="B31" s="38">
        <v>500.0</v>
      </c>
      <c r="C31" s="39">
        <v>45668.0</v>
      </c>
      <c r="D31" s="7"/>
      <c r="Y31" s="16"/>
      <c r="Z31" s="34"/>
      <c r="AB31" s="40"/>
    </row>
    <row r="32">
      <c r="A32" s="37" t="s">
        <v>34</v>
      </c>
      <c r="B32" s="38">
        <v>100.0</v>
      </c>
      <c r="C32" s="39">
        <v>45670.0</v>
      </c>
      <c r="D32" s="7"/>
      <c r="X32" s="6"/>
      <c r="Y32" s="16"/>
      <c r="Z32" s="34"/>
      <c r="AB32" s="40"/>
    </row>
    <row r="33">
      <c r="A33" s="37" t="s">
        <v>34</v>
      </c>
      <c r="B33" s="38">
        <v>100.0</v>
      </c>
      <c r="C33" s="39">
        <v>45671.0</v>
      </c>
      <c r="D33" s="7"/>
      <c r="Y33" s="19"/>
      <c r="AB33" s="40"/>
    </row>
    <row r="34">
      <c r="A34" s="37" t="s">
        <v>34</v>
      </c>
      <c r="B34" s="38">
        <v>20.0</v>
      </c>
      <c r="C34" s="39">
        <v>45672.0</v>
      </c>
      <c r="D34" s="7"/>
      <c r="X34" s="6"/>
      <c r="Y34" s="16"/>
      <c r="Z34" s="35"/>
      <c r="AB34" s="36"/>
      <c r="AC34" s="6"/>
    </row>
    <row r="35">
      <c r="A35" s="41"/>
      <c r="B35" s="38">
        <v>60.0</v>
      </c>
      <c r="C35" s="39">
        <v>45673.0</v>
      </c>
      <c r="D35" s="42"/>
      <c r="X35" s="6"/>
      <c r="Y35" s="16"/>
      <c r="Z35" s="35"/>
      <c r="AB35" s="36"/>
      <c r="AC35" s="6"/>
    </row>
    <row r="36">
      <c r="A36" s="41"/>
      <c r="B36" s="38">
        <v>60.0</v>
      </c>
      <c r="C36" s="39">
        <v>45674.0</v>
      </c>
      <c r="D36" s="7"/>
      <c r="X36" s="6"/>
      <c r="Y36" s="16"/>
      <c r="Z36" s="35"/>
      <c r="AB36" s="40"/>
    </row>
    <row r="37">
      <c r="A37" s="41"/>
      <c r="B37" s="38">
        <v>60.0</v>
      </c>
      <c r="C37" s="39">
        <v>45675.0</v>
      </c>
      <c r="D37" s="7"/>
      <c r="X37" s="6"/>
      <c r="Y37" s="16"/>
      <c r="Z37" s="35"/>
      <c r="AB37" s="40"/>
    </row>
    <row r="38">
      <c r="A38" s="37" t="s">
        <v>37</v>
      </c>
      <c r="B38" s="38">
        <v>200.0</v>
      </c>
      <c r="C38" s="39">
        <v>45676.0</v>
      </c>
      <c r="D38" s="7"/>
      <c r="X38" s="6"/>
      <c r="Y38" s="16"/>
      <c r="Z38" s="35"/>
      <c r="AB38" s="40"/>
    </row>
    <row r="39">
      <c r="A39" s="41"/>
      <c r="B39" s="38">
        <v>60.0</v>
      </c>
      <c r="C39" s="39">
        <v>45678.0</v>
      </c>
      <c r="D39" s="7"/>
      <c r="X39" s="6"/>
      <c r="Y39" s="16"/>
      <c r="AB39" s="40"/>
    </row>
    <row r="40">
      <c r="A40" s="41"/>
      <c r="B40" s="38">
        <v>60.0</v>
      </c>
      <c r="C40" s="39">
        <v>45679.0</v>
      </c>
      <c r="D40" s="7"/>
      <c r="X40" s="6"/>
      <c r="Y40" s="16"/>
      <c r="AB40" s="40"/>
    </row>
    <row r="41">
      <c r="A41" s="41"/>
      <c r="B41" s="38">
        <v>60.0</v>
      </c>
      <c r="C41" s="39">
        <v>45680.0</v>
      </c>
      <c r="D41" s="7"/>
      <c r="X41" s="6"/>
      <c r="Y41" s="16"/>
      <c r="Z41" s="35"/>
      <c r="AB41" s="40"/>
    </row>
    <row r="42">
      <c r="A42" s="41"/>
      <c r="B42" s="38">
        <v>60.0</v>
      </c>
      <c r="C42" s="39">
        <v>45681.0</v>
      </c>
      <c r="D42" s="7"/>
      <c r="Y42" s="16"/>
      <c r="AB42" s="40"/>
    </row>
    <row r="43">
      <c r="A43" s="37" t="s">
        <v>38</v>
      </c>
      <c r="B43" s="38">
        <v>150.0</v>
      </c>
      <c r="C43" s="39">
        <v>45682.0</v>
      </c>
      <c r="D43" s="7"/>
      <c r="X43" s="6"/>
      <c r="Y43" s="16"/>
      <c r="Z43" s="35"/>
      <c r="AB43" s="36"/>
      <c r="AC43" s="6"/>
    </row>
    <row r="44">
      <c r="A44" s="37" t="s">
        <v>38</v>
      </c>
      <c r="B44" s="38">
        <v>60.0</v>
      </c>
      <c r="C44" s="39">
        <v>45683.0</v>
      </c>
      <c r="D44" s="7"/>
      <c r="X44" s="6"/>
      <c r="Y44" s="16"/>
      <c r="AB44" s="40"/>
    </row>
    <row r="45">
      <c r="A45" s="37" t="s">
        <v>39</v>
      </c>
      <c r="B45" s="38">
        <v>200.0</v>
      </c>
      <c r="C45" s="39">
        <v>45684.0</v>
      </c>
      <c r="D45" s="7"/>
      <c r="Y45" s="16"/>
      <c r="Z45" s="35"/>
      <c r="AB45" s="40"/>
    </row>
    <row r="46">
      <c r="A46" s="41"/>
      <c r="B46" s="38">
        <v>60.0</v>
      </c>
      <c r="C46" s="39">
        <v>45686.0</v>
      </c>
      <c r="D46" s="7"/>
      <c r="X46" s="6"/>
      <c r="Y46" s="16"/>
      <c r="AB46" s="36"/>
      <c r="AC46" s="6"/>
    </row>
    <row r="47">
      <c r="A47" s="41"/>
      <c r="B47" s="38">
        <v>60.0</v>
      </c>
      <c r="C47" s="39">
        <v>45687.0</v>
      </c>
      <c r="D47" s="7"/>
      <c r="X47" s="6"/>
      <c r="Y47" s="16"/>
      <c r="Z47" s="35"/>
      <c r="AB47" s="40"/>
    </row>
    <row r="48">
      <c r="A48" s="37" t="s">
        <v>34</v>
      </c>
      <c r="B48" s="38">
        <v>60.0</v>
      </c>
      <c r="C48" s="39">
        <v>45688.0</v>
      </c>
      <c r="D48" s="7"/>
      <c r="X48" s="6"/>
      <c r="Y48" s="16"/>
      <c r="Z48" s="35"/>
      <c r="AA48" s="35"/>
      <c r="AB48" s="36"/>
      <c r="AC48" s="6"/>
    </row>
    <row r="49">
      <c r="A49" s="18">
        <f>SUM(B29:B48)</f>
        <v>2950</v>
      </c>
      <c r="D49" s="7"/>
      <c r="X49" s="6"/>
      <c r="Y49" s="16"/>
      <c r="AB49" s="40"/>
    </row>
    <row r="50">
      <c r="A50" s="5" t="s">
        <v>40</v>
      </c>
      <c r="B50" s="6">
        <v>5000.0</v>
      </c>
      <c r="D50" s="7"/>
      <c r="X50" s="6"/>
      <c r="Y50" s="16"/>
      <c r="Z50" s="35"/>
      <c r="AB50" s="40"/>
    </row>
    <row r="51">
      <c r="A51" s="5" t="s">
        <v>41</v>
      </c>
      <c r="B51" s="6">
        <v>300.0</v>
      </c>
      <c r="C51" s="39">
        <v>45668.0</v>
      </c>
      <c r="D51" s="7"/>
      <c r="Y51" s="16"/>
      <c r="Z51" s="35"/>
      <c r="AB51" s="40"/>
    </row>
    <row r="52">
      <c r="A52" s="5" t="s">
        <v>42</v>
      </c>
      <c r="B52" s="6">
        <v>50.0</v>
      </c>
      <c r="D52" s="7"/>
      <c r="X52" s="6"/>
      <c r="Y52" s="16"/>
      <c r="Z52" s="35"/>
      <c r="AA52" s="35"/>
      <c r="AB52" s="36"/>
      <c r="AC52" s="6"/>
    </row>
    <row r="53">
      <c r="A53" s="5" t="s">
        <v>43</v>
      </c>
      <c r="B53" s="6">
        <v>280.0</v>
      </c>
      <c r="D53" s="7"/>
      <c r="Y53" s="16"/>
      <c r="AB53" s="40"/>
    </row>
    <row r="54">
      <c r="A54" s="5" t="s">
        <v>44</v>
      </c>
      <c r="B54" s="6">
        <v>400.0</v>
      </c>
      <c r="D54" s="7"/>
      <c r="X54" s="6"/>
      <c r="Y54" s="16"/>
      <c r="AB54" s="40"/>
    </row>
    <row r="55">
      <c r="A55" s="5" t="s">
        <v>45</v>
      </c>
      <c r="B55" s="6">
        <v>70.0</v>
      </c>
      <c r="D55" s="7"/>
      <c r="X55" s="6"/>
      <c r="Y55" s="16"/>
      <c r="Z55" s="35"/>
      <c r="AB55" s="36"/>
      <c r="AC55" s="6"/>
    </row>
    <row r="56">
      <c r="A56" s="5" t="s">
        <v>46</v>
      </c>
      <c r="B56" s="6">
        <v>5187.0</v>
      </c>
      <c r="D56" s="7"/>
      <c r="X56" s="6"/>
      <c r="Y56" s="16"/>
      <c r="AB56" s="40"/>
    </row>
    <row r="57">
      <c r="A57" s="5" t="s">
        <v>47</v>
      </c>
      <c r="B57" s="6" t="s">
        <v>48</v>
      </c>
      <c r="D57" s="7"/>
      <c r="Y57" s="16"/>
      <c r="Z57" s="35"/>
      <c r="AB57" s="40"/>
    </row>
    <row r="58">
      <c r="A58" s="43"/>
      <c r="B58" s="44">
        <f>SUM(B15:B57)</f>
        <v>32592</v>
      </c>
      <c r="D58" s="7"/>
      <c r="Y58" s="16"/>
      <c r="AB58" s="40"/>
    </row>
    <row r="59">
      <c r="A59" s="22" t="s">
        <v>49</v>
      </c>
      <c r="B59" s="45">
        <f>B14-B58</f>
        <v>1130</v>
      </c>
      <c r="C59" s="6">
        <v>30.0</v>
      </c>
      <c r="D59" s="7"/>
      <c r="Y59" s="16"/>
      <c r="Z59" s="35"/>
      <c r="AB59" s="40"/>
    </row>
    <row r="60">
      <c r="A60" s="18"/>
      <c r="C60" s="46">
        <f>B59-C59</f>
        <v>1100</v>
      </c>
      <c r="D60" s="7"/>
      <c r="Y60" s="16"/>
      <c r="Z60" s="35"/>
      <c r="AA60" s="35"/>
      <c r="AB60" s="36"/>
      <c r="AC60" s="6"/>
    </row>
    <row r="61">
      <c r="A61" s="18"/>
      <c r="D61" s="7"/>
      <c r="Y61" s="16"/>
      <c r="Z61" s="34"/>
      <c r="AB61" s="36"/>
      <c r="AC61" s="6"/>
    </row>
    <row r="62">
      <c r="A62" s="5" t="s">
        <v>34</v>
      </c>
      <c r="B62" s="15">
        <v>2950.0</v>
      </c>
      <c r="D62" s="7"/>
      <c r="Y62" s="16"/>
      <c r="AA62" s="34"/>
      <c r="AB62" s="36"/>
      <c r="AC62" s="6"/>
    </row>
    <row r="63">
      <c r="A63" s="47" t="s">
        <v>50</v>
      </c>
      <c r="B63" s="48">
        <v>8290.0</v>
      </c>
      <c r="C63" s="49"/>
      <c r="D63" s="50"/>
      <c r="Y63" s="16"/>
      <c r="Z63" s="34"/>
      <c r="AA63" s="34"/>
      <c r="AB63" s="36"/>
      <c r="AC63" s="6"/>
    </row>
    <row r="64">
      <c r="A64" s="1" t="s">
        <v>0</v>
      </c>
      <c r="B64" s="2" t="s">
        <v>51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4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5" t="s">
        <v>2</v>
      </c>
      <c r="B65" s="6" t="s">
        <v>52</v>
      </c>
      <c r="D65" s="6" t="s">
        <v>53</v>
      </c>
      <c r="E65" s="9" t="s">
        <v>54</v>
      </c>
      <c r="Y65" s="19"/>
      <c r="AB65" s="40"/>
    </row>
    <row r="66">
      <c r="A66" s="5" t="s">
        <v>55</v>
      </c>
      <c r="B66" s="15">
        <v>15500.0</v>
      </c>
      <c r="D66" s="6" t="s">
        <v>56</v>
      </c>
      <c r="E66" s="9" t="s">
        <v>57</v>
      </c>
      <c r="H66" s="51" t="s">
        <v>58</v>
      </c>
      <c r="I66" s="51">
        <v>4000.0</v>
      </c>
      <c r="K66" s="6" t="s">
        <v>59</v>
      </c>
      <c r="Y66" s="19"/>
      <c r="AA66" s="52"/>
      <c r="AB66" s="40"/>
    </row>
    <row r="67">
      <c r="A67" s="5" t="s">
        <v>4</v>
      </c>
      <c r="B67" s="15">
        <v>10000.0</v>
      </c>
      <c r="D67" s="6" t="s">
        <v>60</v>
      </c>
      <c r="E67" s="9" t="s">
        <v>61</v>
      </c>
      <c r="H67" s="51" t="s">
        <v>62</v>
      </c>
      <c r="I67" s="51">
        <v>4000.0</v>
      </c>
      <c r="K67" s="6" t="s">
        <v>63</v>
      </c>
      <c r="Y67" s="19"/>
      <c r="AA67" s="52"/>
      <c r="AB67" s="40"/>
    </row>
    <row r="68">
      <c r="A68" s="5" t="s">
        <v>64</v>
      </c>
      <c r="B68" s="15">
        <v>3400.0</v>
      </c>
      <c r="D68" s="6" t="s">
        <v>65</v>
      </c>
      <c r="E68" s="9" t="s">
        <v>57</v>
      </c>
      <c r="H68" s="51" t="s">
        <v>66</v>
      </c>
      <c r="I68" s="51">
        <v>4000.0</v>
      </c>
      <c r="J68" s="6" t="s">
        <v>67</v>
      </c>
      <c r="K68" s="6" t="s">
        <v>68</v>
      </c>
      <c r="Y68" s="19"/>
      <c r="AB68" s="40"/>
    </row>
    <row r="69">
      <c r="A69" s="5" t="s">
        <v>69</v>
      </c>
      <c r="B69" s="15">
        <v>2000.0</v>
      </c>
      <c r="E69" s="9" t="s">
        <v>70</v>
      </c>
      <c r="H69" s="51" t="s">
        <v>71</v>
      </c>
      <c r="I69" s="51">
        <v>4000.0</v>
      </c>
      <c r="K69" s="6" t="s">
        <v>72</v>
      </c>
      <c r="Y69" s="19"/>
      <c r="AB69" s="40"/>
    </row>
    <row r="70">
      <c r="A70" s="5" t="s">
        <v>10</v>
      </c>
      <c r="B70" s="15">
        <v>120.0</v>
      </c>
      <c r="E70" s="7"/>
      <c r="H70" s="51" t="s">
        <v>73</v>
      </c>
      <c r="I70" s="51">
        <v>4000.0</v>
      </c>
      <c r="K70" s="6" t="s">
        <v>74</v>
      </c>
      <c r="Y70" s="19"/>
      <c r="AB70" s="40"/>
    </row>
    <row r="71">
      <c r="A71" s="5" t="s">
        <v>6</v>
      </c>
      <c r="B71" s="15">
        <v>11000.0</v>
      </c>
      <c r="D71" s="6" t="s">
        <v>75</v>
      </c>
      <c r="E71" s="9" t="s">
        <v>61</v>
      </c>
      <c r="H71" s="51" t="s">
        <v>76</v>
      </c>
      <c r="I71" s="51">
        <v>25000.0</v>
      </c>
      <c r="Y71" s="19"/>
      <c r="AB71" s="40"/>
    </row>
    <row r="72">
      <c r="A72" s="5" t="s">
        <v>77</v>
      </c>
      <c r="B72" s="15">
        <v>4000.0</v>
      </c>
      <c r="D72" s="6" t="s">
        <v>78</v>
      </c>
      <c r="E72" s="9" t="s">
        <v>79</v>
      </c>
      <c r="H72" s="25" t="s">
        <v>19</v>
      </c>
      <c r="I72" s="53" t="s">
        <v>80</v>
      </c>
      <c r="Y72" s="19"/>
      <c r="AB72" s="40"/>
    </row>
    <row r="73">
      <c r="A73" s="5" t="s">
        <v>81</v>
      </c>
      <c r="B73" s="15">
        <v>4000.0</v>
      </c>
      <c r="D73" s="6" t="s">
        <v>78</v>
      </c>
      <c r="E73" s="9" t="s">
        <v>70</v>
      </c>
      <c r="H73" s="54">
        <f>B81</f>
        <v>4081</v>
      </c>
      <c r="I73" s="44">
        <f>SUM(I66:I72)</f>
        <v>45000</v>
      </c>
      <c r="Y73" s="19"/>
      <c r="AB73" s="40"/>
    </row>
    <row r="74">
      <c r="A74" s="5" t="s">
        <v>82</v>
      </c>
      <c r="B74" s="15">
        <v>5500.0</v>
      </c>
      <c r="D74" s="6" t="s">
        <v>83</v>
      </c>
      <c r="E74" s="9" t="s">
        <v>84</v>
      </c>
      <c r="H74" s="55" t="s">
        <v>85</v>
      </c>
      <c r="I74" s="45"/>
      <c r="X74" s="56"/>
      <c r="Z74" s="57"/>
      <c r="AA74" s="58"/>
      <c r="AB74" s="59"/>
      <c r="AC74" s="60"/>
    </row>
    <row r="75">
      <c r="A75" s="5" t="s">
        <v>86</v>
      </c>
      <c r="B75" s="15">
        <v>10000.0</v>
      </c>
      <c r="C75" s="6">
        <v>7000.0</v>
      </c>
      <c r="D75" s="6" t="s">
        <v>87</v>
      </c>
      <c r="E75" s="9" t="s">
        <v>88</v>
      </c>
      <c r="H75" s="61">
        <f>H73-I73</f>
        <v>-40919</v>
      </c>
      <c r="I75" s="45"/>
      <c r="X75" s="6"/>
      <c r="Y75" s="62"/>
    </row>
    <row r="76">
      <c r="A76" s="5" t="s">
        <v>89</v>
      </c>
      <c r="B76" s="15">
        <v>12000.0</v>
      </c>
      <c r="C76" s="6">
        <v>11500.0</v>
      </c>
      <c r="D76" s="6" t="s">
        <v>75</v>
      </c>
      <c r="E76" s="9" t="s">
        <v>90</v>
      </c>
      <c r="X76" s="12"/>
      <c r="Y76" s="33"/>
    </row>
    <row r="77">
      <c r="A77" s="5" t="s">
        <v>91</v>
      </c>
      <c r="B77" s="15">
        <v>1005.0</v>
      </c>
      <c r="E77" s="7"/>
      <c r="Y77" s="63"/>
    </row>
    <row r="78">
      <c r="A78" s="18"/>
      <c r="E78" s="7"/>
      <c r="Y78" s="19"/>
    </row>
    <row r="79">
      <c r="A79" s="20" t="s">
        <v>19</v>
      </c>
      <c r="B79" s="64">
        <v>550.0</v>
      </c>
      <c r="E79" s="7"/>
      <c r="R79" s="8"/>
    </row>
    <row r="80">
      <c r="A80" s="22" t="s">
        <v>20</v>
      </c>
      <c r="B80" s="65">
        <f>SUM(B65:B79)</f>
        <v>79075</v>
      </c>
      <c r="E80" s="7"/>
      <c r="R80" s="8"/>
    </row>
    <row r="81">
      <c r="A81" s="5" t="s">
        <v>92</v>
      </c>
      <c r="B81" s="15">
        <v>4081.0</v>
      </c>
      <c r="E81" s="7"/>
      <c r="R81" s="8"/>
    </row>
    <row r="82">
      <c r="A82" s="5" t="s">
        <v>93</v>
      </c>
      <c r="B82" s="15">
        <v>47.0</v>
      </c>
      <c r="E82" s="7"/>
      <c r="R82" s="8"/>
    </row>
    <row r="83">
      <c r="A83" s="27" t="s">
        <v>22</v>
      </c>
      <c r="B83" s="15">
        <v>7600.0</v>
      </c>
      <c r="D83" s="6">
        <v>6000.0</v>
      </c>
      <c r="E83" s="7"/>
      <c r="R83" s="8"/>
    </row>
    <row r="84">
      <c r="A84" s="27" t="s">
        <v>94</v>
      </c>
      <c r="B84" s="6">
        <v>12490.0</v>
      </c>
      <c r="D84" s="6">
        <v>6000.0</v>
      </c>
      <c r="E84" s="7"/>
      <c r="R84" s="8"/>
    </row>
    <row r="85">
      <c r="A85" s="27" t="s">
        <v>24</v>
      </c>
      <c r="B85" s="15">
        <v>8000.0</v>
      </c>
      <c r="D85" s="6">
        <v>1000.0</v>
      </c>
      <c r="E85" s="7"/>
      <c r="R85" s="8"/>
    </row>
    <row r="86">
      <c r="A86" s="66">
        <f>SUM(B83:B85)</f>
        <v>28090</v>
      </c>
      <c r="D86" s="6">
        <v>100.0</v>
      </c>
      <c r="E86" s="7"/>
      <c r="R86" s="8"/>
    </row>
    <row r="87">
      <c r="A87" s="28" t="s">
        <v>95</v>
      </c>
      <c r="B87" s="29" t="s">
        <v>96</v>
      </c>
      <c r="C87" s="67"/>
      <c r="D87" s="6">
        <v>50.0</v>
      </c>
      <c r="E87" s="7"/>
      <c r="R87" s="8"/>
    </row>
    <row r="88">
      <c r="A88" s="28" t="s">
        <v>97</v>
      </c>
      <c r="B88" s="29" t="s">
        <v>98</v>
      </c>
      <c r="C88" s="67"/>
      <c r="D88" s="6">
        <v>540.0</v>
      </c>
      <c r="E88" s="7"/>
      <c r="R88" s="8"/>
    </row>
    <row r="89">
      <c r="A89" s="28" t="s">
        <v>99</v>
      </c>
      <c r="B89" s="68">
        <v>3000.0</v>
      </c>
      <c r="C89" s="29">
        <v>6.0</v>
      </c>
      <c r="D89" s="6">
        <v>3500.0</v>
      </c>
      <c r="E89" s="7"/>
      <c r="R89" s="8"/>
    </row>
    <row r="90">
      <c r="A90" s="28" t="s">
        <v>100</v>
      </c>
      <c r="B90" s="68">
        <v>2000.0</v>
      </c>
      <c r="C90" s="29">
        <v>6.0</v>
      </c>
      <c r="D90" s="6">
        <v>800.0</v>
      </c>
      <c r="E90" s="7"/>
      <c r="R90" s="8"/>
    </row>
    <row r="91">
      <c r="A91" s="28" t="s">
        <v>101</v>
      </c>
      <c r="B91" s="68">
        <v>280.0</v>
      </c>
      <c r="C91" s="29">
        <v>6.0</v>
      </c>
      <c r="D91" s="6">
        <v>8000.0</v>
      </c>
      <c r="E91" s="7"/>
      <c r="R91" s="8"/>
    </row>
    <row r="92">
      <c r="A92" s="28" t="s">
        <v>102</v>
      </c>
      <c r="B92" s="68">
        <v>460.0</v>
      </c>
      <c r="C92" s="29">
        <v>7.0</v>
      </c>
      <c r="D92" s="6">
        <v>100.0</v>
      </c>
      <c r="E92" s="7"/>
      <c r="R92" s="8"/>
    </row>
    <row r="93">
      <c r="A93" s="28" t="s">
        <v>103</v>
      </c>
      <c r="B93" s="29">
        <v>120.0</v>
      </c>
      <c r="C93" s="67"/>
      <c r="D93" s="6">
        <v>1000.0</v>
      </c>
      <c r="E93" s="7"/>
      <c r="R93" s="8"/>
    </row>
    <row r="94">
      <c r="A94" s="28" t="s">
        <v>10</v>
      </c>
      <c r="B94" s="29">
        <v>3000.0</v>
      </c>
      <c r="C94" s="29">
        <v>15.0</v>
      </c>
      <c r="D94" s="6">
        <v>1000.0</v>
      </c>
      <c r="E94" s="7"/>
      <c r="R94" s="8"/>
    </row>
    <row r="95">
      <c r="A95" s="28" t="s">
        <v>5</v>
      </c>
      <c r="B95" s="29">
        <v>2010.0</v>
      </c>
      <c r="C95" s="67"/>
      <c r="D95" s="6">
        <v>1000.0</v>
      </c>
      <c r="E95" s="7"/>
      <c r="R95" s="8"/>
    </row>
    <row r="96">
      <c r="A96" s="28" t="s">
        <v>104</v>
      </c>
      <c r="B96" s="29">
        <v>550.0</v>
      </c>
      <c r="C96" s="67"/>
      <c r="E96" s="7"/>
      <c r="R96" s="8"/>
    </row>
    <row r="97">
      <c r="A97" s="28" t="s">
        <v>105</v>
      </c>
      <c r="B97" s="29">
        <v>5805.0</v>
      </c>
      <c r="C97" s="29">
        <v>26.0</v>
      </c>
      <c r="E97" s="7"/>
      <c r="R97" s="8"/>
    </row>
    <row r="98">
      <c r="A98" s="28" t="s">
        <v>106</v>
      </c>
      <c r="B98" s="29">
        <v>785.0</v>
      </c>
      <c r="C98" s="29">
        <v>27.0</v>
      </c>
      <c r="E98" s="7"/>
      <c r="R98" s="8"/>
    </row>
    <row r="99">
      <c r="A99" s="28" t="s">
        <v>107</v>
      </c>
      <c r="B99" s="29">
        <v>650.0</v>
      </c>
      <c r="C99" s="67"/>
      <c r="E99" s="7"/>
      <c r="R99" s="8"/>
    </row>
    <row r="100">
      <c r="A100" s="28" t="s">
        <v>108</v>
      </c>
      <c r="B100" s="29">
        <v>570.0</v>
      </c>
      <c r="C100" s="29">
        <v>28.0</v>
      </c>
      <c r="E100" s="7"/>
      <c r="R100" s="8"/>
    </row>
    <row r="101">
      <c r="A101" s="18"/>
      <c r="B101" s="6">
        <v>1684.0</v>
      </c>
      <c r="E101" s="7"/>
      <c r="R101" s="8"/>
    </row>
    <row r="102">
      <c r="A102" s="18"/>
      <c r="E102" s="7"/>
      <c r="R102" s="8"/>
    </row>
    <row r="103">
      <c r="A103" s="18">
        <f>SUM(B87:B100)</f>
        <v>19230</v>
      </c>
      <c r="E103" s="7"/>
      <c r="R103" s="8"/>
    </row>
    <row r="104">
      <c r="A104" s="69" t="s">
        <v>34</v>
      </c>
      <c r="B104" s="70">
        <v>60.0</v>
      </c>
      <c r="C104" s="71">
        <v>1.0</v>
      </c>
      <c r="E104" s="7"/>
      <c r="R104" s="8"/>
    </row>
    <row r="105">
      <c r="A105" s="69" t="s">
        <v>34</v>
      </c>
      <c r="B105" s="70">
        <v>70.0</v>
      </c>
      <c r="C105" s="71">
        <v>3.0</v>
      </c>
      <c r="E105" s="7"/>
      <c r="R105" s="8"/>
    </row>
    <row r="106">
      <c r="A106" s="69" t="s">
        <v>34</v>
      </c>
      <c r="B106" s="70">
        <v>200.0</v>
      </c>
      <c r="C106" s="71">
        <v>4.0</v>
      </c>
      <c r="E106" s="7"/>
      <c r="R106" s="8"/>
    </row>
    <row r="107">
      <c r="A107" s="69" t="s">
        <v>34</v>
      </c>
      <c r="B107" s="70">
        <v>50.0</v>
      </c>
      <c r="C107" s="71">
        <v>5.0</v>
      </c>
      <c r="E107" s="7"/>
      <c r="R107" s="8"/>
    </row>
    <row r="108">
      <c r="A108" s="69" t="s">
        <v>34</v>
      </c>
      <c r="B108" s="70">
        <v>20.0</v>
      </c>
      <c r="C108" s="71">
        <v>6.0</v>
      </c>
      <c r="E108" s="7"/>
      <c r="R108" s="8"/>
    </row>
    <row r="109">
      <c r="A109" s="69" t="s">
        <v>34</v>
      </c>
      <c r="B109" s="70">
        <v>70.0</v>
      </c>
      <c r="C109" s="71">
        <v>7.0</v>
      </c>
      <c r="E109" s="7"/>
      <c r="R109" s="8"/>
    </row>
    <row r="110">
      <c r="A110" s="69" t="s">
        <v>34</v>
      </c>
      <c r="B110" s="70">
        <v>10.0</v>
      </c>
      <c r="C110" s="71">
        <v>8.0</v>
      </c>
      <c r="E110" s="7"/>
      <c r="R110" s="8"/>
    </row>
    <row r="111">
      <c r="A111" s="69" t="s">
        <v>34</v>
      </c>
      <c r="B111" s="70">
        <v>20.0</v>
      </c>
      <c r="C111" s="71">
        <v>9.0</v>
      </c>
      <c r="E111" s="7"/>
      <c r="R111" s="8"/>
    </row>
    <row r="112">
      <c r="A112" s="69" t="s">
        <v>34</v>
      </c>
      <c r="B112" s="70">
        <v>60.0</v>
      </c>
      <c r="C112" s="71">
        <v>10.0</v>
      </c>
      <c r="E112" s="7"/>
      <c r="R112" s="8"/>
    </row>
    <row r="113">
      <c r="A113" s="69" t="s">
        <v>34</v>
      </c>
      <c r="B113" s="71">
        <v>60.0</v>
      </c>
      <c r="C113" s="71">
        <v>12.0</v>
      </c>
      <c r="E113" s="7"/>
      <c r="R113" s="8"/>
    </row>
    <row r="114">
      <c r="A114" s="69" t="s">
        <v>34</v>
      </c>
      <c r="B114" s="71">
        <v>50.0</v>
      </c>
      <c r="C114" s="71">
        <v>14.0</v>
      </c>
      <c r="E114" s="7"/>
      <c r="R114" s="8"/>
    </row>
    <row r="115">
      <c r="A115" s="69" t="s">
        <v>34</v>
      </c>
      <c r="B115" s="71">
        <v>80.0</v>
      </c>
      <c r="C115" s="71">
        <v>17.0</v>
      </c>
      <c r="E115" s="7"/>
      <c r="R115" s="8"/>
    </row>
    <row r="116">
      <c r="A116" s="69" t="s">
        <v>34</v>
      </c>
      <c r="B116" s="71">
        <v>50.0</v>
      </c>
      <c r="C116" s="71">
        <v>18.0</v>
      </c>
      <c r="E116" s="7"/>
      <c r="R116" s="8"/>
    </row>
    <row r="117">
      <c r="A117" s="69" t="s">
        <v>34</v>
      </c>
      <c r="B117" s="71">
        <v>70.0</v>
      </c>
      <c r="C117" s="71">
        <v>19.0</v>
      </c>
      <c r="E117" s="7"/>
      <c r="R117" s="8"/>
    </row>
    <row r="118">
      <c r="A118" s="37" t="s">
        <v>109</v>
      </c>
      <c r="B118" s="72">
        <v>1000.0</v>
      </c>
      <c r="C118" s="38">
        <v>12.0</v>
      </c>
      <c r="E118" s="7"/>
      <c r="R118" s="8"/>
    </row>
    <row r="119">
      <c r="A119" s="69" t="s">
        <v>34</v>
      </c>
      <c r="B119" s="71">
        <v>50.0</v>
      </c>
      <c r="C119" s="71">
        <v>21.0</v>
      </c>
      <c r="E119" s="7"/>
      <c r="R119" s="8"/>
    </row>
    <row r="120">
      <c r="A120" s="66">
        <f>SUM(B104:B119)</f>
        <v>1920</v>
      </c>
      <c r="E120" s="7"/>
      <c r="R120" s="8"/>
    </row>
    <row r="121">
      <c r="A121" s="5" t="s">
        <v>110</v>
      </c>
      <c r="B121" s="15">
        <v>1000.0</v>
      </c>
      <c r="C121" s="6">
        <v>4.0</v>
      </c>
      <c r="E121" s="7"/>
      <c r="R121" s="8"/>
    </row>
    <row r="122">
      <c r="A122" s="5" t="s">
        <v>110</v>
      </c>
      <c r="B122" s="15">
        <v>900.0</v>
      </c>
      <c r="C122" s="6">
        <v>7.0</v>
      </c>
      <c r="E122" s="7"/>
      <c r="R122" s="8"/>
    </row>
    <row r="123">
      <c r="A123" s="5" t="s">
        <v>111</v>
      </c>
      <c r="B123" s="6">
        <v>100.0</v>
      </c>
      <c r="E123" s="7"/>
      <c r="R123" s="8"/>
    </row>
    <row r="124">
      <c r="A124" s="5" t="s">
        <v>112</v>
      </c>
      <c r="B124" s="6">
        <v>300.0</v>
      </c>
      <c r="E124" s="7"/>
      <c r="R124" s="8"/>
    </row>
    <row r="125">
      <c r="A125" s="5" t="s">
        <v>113</v>
      </c>
      <c r="B125" s="6">
        <v>150.0</v>
      </c>
      <c r="C125" s="6">
        <v>17.0</v>
      </c>
      <c r="E125" s="7"/>
      <c r="R125" s="8"/>
    </row>
    <row r="126">
      <c r="A126" s="5" t="s">
        <v>114</v>
      </c>
      <c r="B126" s="6">
        <v>2605.0</v>
      </c>
      <c r="C126" s="6">
        <v>25.0</v>
      </c>
      <c r="E126" s="7"/>
      <c r="R126" s="8"/>
    </row>
    <row r="127">
      <c r="A127" s="5" t="s">
        <v>115</v>
      </c>
      <c r="B127" s="6">
        <v>3320.0</v>
      </c>
      <c r="C127" s="6">
        <v>28.0</v>
      </c>
      <c r="E127" s="7"/>
      <c r="R127" s="8"/>
    </row>
    <row r="128">
      <c r="A128" s="18"/>
      <c r="B128" s="6">
        <v>30.0</v>
      </c>
      <c r="E128" s="7"/>
      <c r="R128" s="8"/>
    </row>
    <row r="129">
      <c r="A129" s="5" t="s">
        <v>116</v>
      </c>
      <c r="B129" s="15">
        <v>610.0</v>
      </c>
      <c r="E129" s="7"/>
      <c r="R129" s="8"/>
    </row>
    <row r="130">
      <c r="A130" s="5" t="s">
        <v>117</v>
      </c>
      <c r="B130" s="15">
        <v>4993.0</v>
      </c>
      <c r="E130" s="7"/>
      <c r="R130" s="8"/>
    </row>
    <row r="131">
      <c r="A131" s="73" t="s">
        <v>118</v>
      </c>
      <c r="C131" s="74">
        <f>SUM(B83:B130)</f>
        <v>64932</v>
      </c>
      <c r="E131" s="7"/>
      <c r="R131" s="8"/>
    </row>
    <row r="132">
      <c r="A132" s="75"/>
      <c r="B132" s="76">
        <f>SUM(B81:B131)</f>
        <v>69060</v>
      </c>
      <c r="E132" s="7"/>
      <c r="R132" s="8"/>
    </row>
    <row r="133">
      <c r="A133" s="77" t="s">
        <v>119</v>
      </c>
      <c r="B133" s="65">
        <f>B80-B132</f>
        <v>10015</v>
      </c>
      <c r="C133" s="6">
        <v>735.0</v>
      </c>
      <c r="E133" s="7"/>
      <c r="R133" s="8"/>
    </row>
    <row r="134">
      <c r="A134" s="18"/>
      <c r="B134" s="63"/>
      <c r="C134" s="19">
        <f>B133-C133</f>
        <v>9280</v>
      </c>
      <c r="E134" s="7"/>
      <c r="R134" s="8"/>
    </row>
    <row r="135">
      <c r="A135" s="47" t="s">
        <v>120</v>
      </c>
      <c r="B135" s="78">
        <f>B81+B82+B133</f>
        <v>14143</v>
      </c>
      <c r="C135" s="49"/>
      <c r="D135" s="49"/>
      <c r="E135" s="50"/>
      <c r="R135" s="8"/>
    </row>
    <row r="136">
      <c r="A136" s="1" t="s">
        <v>0</v>
      </c>
      <c r="B136" s="2" t="s">
        <v>121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4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5" t="s">
        <v>2</v>
      </c>
      <c r="B137" s="79" t="s">
        <v>122</v>
      </c>
      <c r="C137" s="6" t="s">
        <v>92</v>
      </c>
      <c r="D137" s="9" t="s">
        <v>54</v>
      </c>
      <c r="R137" s="8"/>
    </row>
    <row r="138">
      <c r="A138" s="5" t="s">
        <v>55</v>
      </c>
      <c r="B138" s="80">
        <v>17000.0</v>
      </c>
      <c r="C138" s="6">
        <v>10000.0</v>
      </c>
      <c r="D138" s="9" t="s">
        <v>123</v>
      </c>
      <c r="R138" s="8"/>
    </row>
    <row r="139">
      <c r="A139" s="5" t="s">
        <v>6</v>
      </c>
      <c r="B139" s="80">
        <v>11000.0</v>
      </c>
      <c r="C139" s="6">
        <v>10500.0</v>
      </c>
      <c r="D139" s="9" t="s">
        <v>124</v>
      </c>
      <c r="R139" s="8"/>
    </row>
    <row r="140">
      <c r="A140" s="5" t="s">
        <v>125</v>
      </c>
      <c r="B140" s="81">
        <v>12000.0</v>
      </c>
      <c r="C140" s="6">
        <v>11000.0</v>
      </c>
      <c r="D140" s="9" t="s">
        <v>126</v>
      </c>
      <c r="R140" s="8"/>
    </row>
    <row r="141">
      <c r="A141" s="5" t="s">
        <v>89</v>
      </c>
      <c r="B141" s="82" t="s">
        <v>48</v>
      </c>
      <c r="D141" s="7"/>
      <c r="R141" s="8"/>
    </row>
    <row r="142">
      <c r="A142" s="5" t="s">
        <v>4</v>
      </c>
      <c r="B142" s="80">
        <v>11000.0</v>
      </c>
      <c r="C142" s="6">
        <v>11000.0</v>
      </c>
      <c r="D142" s="9" t="s">
        <v>127</v>
      </c>
      <c r="R142" s="8"/>
    </row>
    <row r="143">
      <c r="A143" s="5" t="s">
        <v>86</v>
      </c>
      <c r="B143" s="80">
        <v>10000.0</v>
      </c>
      <c r="C143" s="6">
        <v>9500.0</v>
      </c>
      <c r="D143" s="9" t="s">
        <v>128</v>
      </c>
      <c r="R143" s="8"/>
    </row>
    <row r="144">
      <c r="A144" s="5" t="s">
        <v>129</v>
      </c>
      <c r="B144" s="81">
        <v>8500.0</v>
      </c>
      <c r="C144" s="6">
        <v>8500.0</v>
      </c>
      <c r="D144" s="9" t="s">
        <v>130</v>
      </c>
      <c r="R144" s="8"/>
    </row>
    <row r="145">
      <c r="A145" s="5" t="s">
        <v>82</v>
      </c>
      <c r="B145" s="80">
        <v>5500.0</v>
      </c>
      <c r="C145" s="6">
        <v>6500.0</v>
      </c>
      <c r="D145" s="9" t="s">
        <v>124</v>
      </c>
      <c r="R145" s="8"/>
    </row>
    <row r="146">
      <c r="A146" s="5" t="s">
        <v>131</v>
      </c>
      <c r="B146" s="15">
        <v>7000.0</v>
      </c>
      <c r="C146" s="6">
        <v>7000.0</v>
      </c>
      <c r="D146" s="9" t="s">
        <v>132</v>
      </c>
      <c r="R146" s="8"/>
    </row>
    <row r="147">
      <c r="A147" s="5" t="s">
        <v>133</v>
      </c>
      <c r="B147" s="15">
        <v>9000.0</v>
      </c>
      <c r="C147" s="6">
        <v>8000.0</v>
      </c>
      <c r="D147" s="9" t="s">
        <v>134</v>
      </c>
      <c r="R147" s="8"/>
    </row>
    <row r="148">
      <c r="A148" s="5" t="s">
        <v>135</v>
      </c>
      <c r="B148" s="15">
        <v>12000.0</v>
      </c>
      <c r="C148" s="6">
        <v>12000.0</v>
      </c>
      <c r="D148" s="9" t="s">
        <v>136</v>
      </c>
      <c r="R148" s="8"/>
    </row>
    <row r="149">
      <c r="A149" s="5" t="s">
        <v>137</v>
      </c>
      <c r="B149" s="6">
        <v>6500.0</v>
      </c>
      <c r="C149" s="6">
        <v>6000.0</v>
      </c>
      <c r="D149" s="9" t="s">
        <v>136</v>
      </c>
      <c r="R149" s="8"/>
    </row>
    <row r="150">
      <c r="A150" s="18"/>
      <c r="D150" s="7"/>
      <c r="R150" s="8"/>
    </row>
    <row r="151">
      <c r="A151" s="18"/>
      <c r="D151" s="7"/>
      <c r="R151" s="8"/>
    </row>
    <row r="152">
      <c r="A152" s="5" t="s">
        <v>50</v>
      </c>
      <c r="B152" s="15">
        <v>10000.0</v>
      </c>
      <c r="D152" s="7"/>
      <c r="R152" s="8"/>
    </row>
    <row r="153">
      <c r="A153" s="5" t="s">
        <v>10</v>
      </c>
      <c r="B153" s="6">
        <v>14040.0</v>
      </c>
      <c r="D153" s="7"/>
      <c r="R153" s="8"/>
    </row>
    <row r="154">
      <c r="A154" s="5" t="s">
        <v>91</v>
      </c>
      <c r="B154" s="6">
        <v>325.0</v>
      </c>
      <c r="D154" s="7"/>
      <c r="R154" s="8"/>
    </row>
    <row r="155">
      <c r="A155" s="20" t="s">
        <v>19</v>
      </c>
      <c r="B155" s="64">
        <v>15000.0</v>
      </c>
      <c r="D155" s="7"/>
      <c r="R155" s="8"/>
    </row>
    <row r="156">
      <c r="A156" s="22" t="s">
        <v>20</v>
      </c>
      <c r="B156" s="65">
        <f>SUM(B137:B155)</f>
        <v>148865</v>
      </c>
      <c r="D156" s="7"/>
      <c r="R156" s="8"/>
    </row>
    <row r="157">
      <c r="A157" s="5" t="s">
        <v>92</v>
      </c>
      <c r="B157" s="15">
        <v>52000.0</v>
      </c>
      <c r="C157" s="19">
        <f>SUM(C138:C156)</f>
        <v>100000</v>
      </c>
      <c r="D157" s="7"/>
      <c r="R157" s="8"/>
    </row>
    <row r="158">
      <c r="A158" s="5" t="s">
        <v>93</v>
      </c>
      <c r="B158" s="15"/>
      <c r="D158" s="7"/>
      <c r="R158" s="8"/>
    </row>
    <row r="159">
      <c r="A159" s="27" t="s">
        <v>22</v>
      </c>
      <c r="B159" s="15">
        <v>20000.0</v>
      </c>
      <c r="D159" s="7"/>
      <c r="R159" s="8"/>
    </row>
    <row r="160">
      <c r="A160" s="27" t="s">
        <v>94</v>
      </c>
      <c r="B160" s="6">
        <v>1820.0</v>
      </c>
      <c r="D160" s="7"/>
      <c r="R160" s="8"/>
    </row>
    <row r="161">
      <c r="A161" s="27" t="s">
        <v>24</v>
      </c>
      <c r="B161" s="15"/>
      <c r="D161" s="7"/>
      <c r="R161" s="8"/>
    </row>
    <row r="162">
      <c r="A162" s="18"/>
      <c r="D162" s="7"/>
      <c r="R162" s="8"/>
    </row>
    <row r="163">
      <c r="A163" s="69" t="s">
        <v>34</v>
      </c>
      <c r="B163" s="6">
        <v>50.0</v>
      </c>
      <c r="C163" s="6">
        <v>1.0</v>
      </c>
      <c r="D163" s="7"/>
      <c r="R163" s="8"/>
    </row>
    <row r="164">
      <c r="A164" s="69" t="s">
        <v>34</v>
      </c>
      <c r="B164" s="6">
        <v>50.0</v>
      </c>
      <c r="C164" s="6">
        <v>4.0</v>
      </c>
      <c r="D164" s="7"/>
      <c r="R164" s="8"/>
    </row>
    <row r="165">
      <c r="A165" s="69" t="s">
        <v>34</v>
      </c>
      <c r="B165" s="6">
        <v>50.0</v>
      </c>
      <c r="C165" s="6">
        <v>5.0</v>
      </c>
      <c r="D165" s="7"/>
      <c r="R165" s="8"/>
    </row>
    <row r="166">
      <c r="A166" s="69" t="s">
        <v>34</v>
      </c>
      <c r="B166" s="6">
        <v>50.0</v>
      </c>
      <c r="C166" s="6">
        <v>6.0</v>
      </c>
      <c r="D166" s="7"/>
      <c r="R166" s="8"/>
    </row>
    <row r="167">
      <c r="A167" s="69" t="s">
        <v>34</v>
      </c>
      <c r="B167" s="6">
        <v>50.0</v>
      </c>
      <c r="C167" s="6">
        <v>7.0</v>
      </c>
      <c r="D167" s="7"/>
      <c r="R167" s="8"/>
    </row>
    <row r="168">
      <c r="A168" s="69" t="s">
        <v>34</v>
      </c>
      <c r="B168" s="6">
        <v>100.0</v>
      </c>
      <c r="C168" s="6">
        <v>8.0</v>
      </c>
      <c r="D168" s="7"/>
      <c r="R168" s="8"/>
    </row>
    <row r="169">
      <c r="A169" s="69" t="s">
        <v>34</v>
      </c>
      <c r="B169" s="6">
        <v>100.0</v>
      </c>
      <c r="C169" s="6">
        <v>11.0</v>
      </c>
      <c r="D169" s="7"/>
      <c r="R169" s="8"/>
    </row>
    <row r="170">
      <c r="A170" s="5" t="s">
        <v>138</v>
      </c>
      <c r="B170" s="34">
        <v>2850.0</v>
      </c>
      <c r="D170" s="7"/>
      <c r="R170" s="8"/>
    </row>
    <row r="171">
      <c r="A171" s="5" t="s">
        <v>34</v>
      </c>
      <c r="B171" s="6">
        <v>10.0</v>
      </c>
      <c r="D171" s="7"/>
      <c r="R171" s="8"/>
    </row>
    <row r="172">
      <c r="A172" s="5" t="s">
        <v>139</v>
      </c>
      <c r="B172" s="6">
        <v>600.0</v>
      </c>
      <c r="D172" s="7"/>
      <c r="R172" s="8"/>
    </row>
    <row r="173">
      <c r="A173" s="18"/>
      <c r="D173" s="7"/>
      <c r="R173" s="8"/>
    </row>
    <row r="174">
      <c r="A174" s="5" t="s">
        <v>140</v>
      </c>
      <c r="B174" s="6">
        <v>120.0</v>
      </c>
      <c r="D174" s="7"/>
      <c r="R174" s="8"/>
    </row>
    <row r="175">
      <c r="A175" s="5" t="s">
        <v>141</v>
      </c>
      <c r="B175" s="6">
        <v>240.0</v>
      </c>
      <c r="D175" s="7"/>
      <c r="R175" s="8"/>
    </row>
    <row r="176">
      <c r="A176" s="5" t="s">
        <v>141</v>
      </c>
      <c r="B176" s="6">
        <v>110.0</v>
      </c>
      <c r="D176" s="7"/>
      <c r="R176" s="8"/>
    </row>
    <row r="177">
      <c r="A177" s="5" t="s">
        <v>142</v>
      </c>
      <c r="B177" s="6">
        <v>700.0</v>
      </c>
      <c r="D177" s="7"/>
      <c r="R177" s="8"/>
    </row>
    <row r="178">
      <c r="A178" s="5" t="s">
        <v>143</v>
      </c>
      <c r="B178" s="6">
        <v>665.0</v>
      </c>
      <c r="D178" s="7"/>
      <c r="R178" s="8"/>
    </row>
    <row r="179">
      <c r="A179" s="5" t="s">
        <v>141</v>
      </c>
      <c r="B179" s="6">
        <v>550.0</v>
      </c>
      <c r="D179" s="7"/>
      <c r="R179" s="8"/>
    </row>
    <row r="180">
      <c r="A180" s="5" t="s">
        <v>144</v>
      </c>
      <c r="B180" s="6">
        <v>10000.0</v>
      </c>
      <c r="D180" s="7"/>
      <c r="R180" s="8"/>
    </row>
    <row r="181">
      <c r="A181" s="5" t="s">
        <v>145</v>
      </c>
      <c r="B181" s="34">
        <v>350.0</v>
      </c>
      <c r="D181" s="7"/>
      <c r="R181" s="8"/>
    </row>
    <row r="182">
      <c r="A182" s="5" t="s">
        <v>102</v>
      </c>
      <c r="B182" s="34">
        <v>2040.0</v>
      </c>
      <c r="D182" s="7"/>
      <c r="R182" s="8"/>
    </row>
    <row r="183">
      <c r="A183" s="5" t="s">
        <v>146</v>
      </c>
      <c r="B183" s="6">
        <v>50.0</v>
      </c>
      <c r="D183" s="7"/>
      <c r="R183" s="8"/>
    </row>
    <row r="184">
      <c r="A184" s="5" t="s">
        <v>147</v>
      </c>
      <c r="B184" s="6">
        <v>2000.0</v>
      </c>
      <c r="D184" s="7"/>
      <c r="R184" s="8"/>
    </row>
    <row r="185">
      <c r="A185" s="5" t="s">
        <v>148</v>
      </c>
      <c r="B185" s="6">
        <v>12000.0</v>
      </c>
      <c r="D185" s="7"/>
      <c r="R185" s="8"/>
    </row>
    <row r="186">
      <c r="A186" s="5" t="s">
        <v>149</v>
      </c>
      <c r="B186" s="6">
        <v>200.0</v>
      </c>
      <c r="D186" s="7"/>
      <c r="R186" s="8"/>
    </row>
    <row r="187">
      <c r="A187" s="5" t="s">
        <v>150</v>
      </c>
      <c r="B187" s="6">
        <v>100.0</v>
      </c>
      <c r="D187" s="7"/>
      <c r="R187" s="8"/>
    </row>
    <row r="188">
      <c r="A188" s="5" t="s">
        <v>151</v>
      </c>
      <c r="B188" s="6">
        <v>340.0</v>
      </c>
      <c r="D188" s="7"/>
      <c r="R188" s="8"/>
    </row>
    <row r="189">
      <c r="A189" s="18"/>
      <c r="D189" s="7"/>
      <c r="R189" s="8"/>
    </row>
    <row r="190">
      <c r="A190" s="18"/>
      <c r="D190" s="7"/>
      <c r="R190" s="8"/>
    </row>
    <row r="191">
      <c r="A191" s="5" t="s">
        <v>152</v>
      </c>
      <c r="B191" s="6">
        <v>700.0</v>
      </c>
      <c r="D191" s="7"/>
      <c r="R191" s="8"/>
    </row>
    <row r="192">
      <c r="A192" s="5" t="s">
        <v>153</v>
      </c>
      <c r="B192" s="6">
        <v>350.0</v>
      </c>
      <c r="D192" s="7"/>
      <c r="R192" s="8"/>
    </row>
    <row r="193">
      <c r="A193" s="5" t="s">
        <v>154</v>
      </c>
      <c r="B193" s="6">
        <v>9000.0</v>
      </c>
      <c r="D193" s="7"/>
      <c r="R193" s="8"/>
    </row>
    <row r="194">
      <c r="A194" s="5" t="s">
        <v>155</v>
      </c>
      <c r="B194" s="6">
        <v>1000.0</v>
      </c>
      <c r="D194" s="7"/>
      <c r="R194" s="8"/>
    </row>
    <row r="195">
      <c r="A195" s="5" t="s">
        <v>156</v>
      </c>
      <c r="B195" s="6">
        <v>100.0</v>
      </c>
      <c r="D195" s="7"/>
      <c r="R195" s="8"/>
    </row>
    <row r="196">
      <c r="A196" s="5" t="s">
        <v>157</v>
      </c>
      <c r="B196" s="6">
        <v>100.0</v>
      </c>
      <c r="D196" s="7"/>
      <c r="R196" s="8"/>
    </row>
    <row r="197">
      <c r="A197" s="5" t="s">
        <v>158</v>
      </c>
      <c r="B197" s="6">
        <v>600.0</v>
      </c>
      <c r="D197" s="7"/>
      <c r="R197" s="8"/>
    </row>
    <row r="198">
      <c r="A198" s="5" t="s">
        <v>116</v>
      </c>
      <c r="B198" s="34">
        <v>30.0</v>
      </c>
      <c r="D198" s="7"/>
      <c r="R198" s="8"/>
    </row>
    <row r="199">
      <c r="A199" s="18"/>
      <c r="B199" s="6">
        <v>20.0</v>
      </c>
      <c r="D199" s="7"/>
      <c r="R199" s="8"/>
    </row>
    <row r="200">
      <c r="A200" s="5" t="s">
        <v>159</v>
      </c>
      <c r="B200" s="34">
        <v>2500.0</v>
      </c>
      <c r="D200" s="7"/>
      <c r="R200" s="8"/>
    </row>
    <row r="201">
      <c r="A201" s="5" t="s">
        <v>115</v>
      </c>
      <c r="B201" s="34">
        <v>360.0</v>
      </c>
      <c r="D201" s="7"/>
      <c r="R201" s="8"/>
    </row>
    <row r="202">
      <c r="A202" s="5" t="s">
        <v>160</v>
      </c>
      <c r="B202" s="6">
        <v>20000.0</v>
      </c>
      <c r="D202" s="7"/>
      <c r="R202" s="8"/>
    </row>
    <row r="203">
      <c r="A203" s="18"/>
      <c r="D203" s="7"/>
      <c r="R203" s="8"/>
    </row>
    <row r="204">
      <c r="A204" s="18"/>
      <c r="D204" s="7"/>
      <c r="R204" s="8"/>
    </row>
    <row r="205">
      <c r="A205" s="5" t="s">
        <v>46</v>
      </c>
      <c r="B205" s="6">
        <v>6910.0</v>
      </c>
      <c r="D205" s="7"/>
      <c r="R205" s="8"/>
    </row>
    <row r="206">
      <c r="A206" s="73" t="s">
        <v>118</v>
      </c>
      <c r="C206" s="74">
        <f>SUM(B158:B205)</f>
        <v>96865</v>
      </c>
      <c r="D206" s="7"/>
      <c r="R206" s="8"/>
    </row>
    <row r="207">
      <c r="A207" s="75"/>
      <c r="B207" s="76">
        <f>SUM(B157:B206)</f>
        <v>148865</v>
      </c>
      <c r="D207" s="7"/>
      <c r="R207" s="8"/>
    </row>
    <row r="208">
      <c r="A208" s="77" t="s">
        <v>119</v>
      </c>
      <c r="B208" s="65">
        <f>B156-B207</f>
        <v>0</v>
      </c>
      <c r="C208" s="6">
        <v>120.0</v>
      </c>
      <c r="D208" s="7"/>
      <c r="R208" s="8"/>
    </row>
    <row r="209">
      <c r="A209" s="18"/>
      <c r="B209" s="63"/>
      <c r="C209" s="19">
        <f>B208-C208</f>
        <v>-120</v>
      </c>
      <c r="D209" s="7"/>
      <c r="R209" s="8"/>
    </row>
    <row r="210">
      <c r="A210" s="18"/>
      <c r="B210" s="63"/>
      <c r="D210" s="7"/>
      <c r="R210" s="8"/>
    </row>
    <row r="211">
      <c r="A211" s="47" t="s">
        <v>120</v>
      </c>
      <c r="B211" s="78"/>
      <c r="C211" s="49"/>
      <c r="D211" s="50"/>
      <c r="R211" s="8"/>
    </row>
    <row r="212">
      <c r="A212" s="1" t="s">
        <v>0</v>
      </c>
      <c r="B212" s="2" t="s">
        <v>161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4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6" t="s">
        <v>2</v>
      </c>
      <c r="B213" s="11" t="s">
        <v>162</v>
      </c>
      <c r="C213" s="12" t="s">
        <v>92</v>
      </c>
      <c r="D213" s="6" t="s">
        <v>54</v>
      </c>
      <c r="R213" s="8"/>
    </row>
    <row r="214">
      <c r="A214" s="6" t="s">
        <v>163</v>
      </c>
      <c r="B214" s="15">
        <v>7000.0</v>
      </c>
      <c r="C214" s="16">
        <v>7000.0</v>
      </c>
      <c r="D214" s="6" t="s">
        <v>132</v>
      </c>
    </row>
    <row r="215">
      <c r="A215" s="6" t="s">
        <v>133</v>
      </c>
      <c r="B215" s="15">
        <v>9000.0</v>
      </c>
      <c r="C215" s="16">
        <v>8000.0</v>
      </c>
      <c r="D215" s="6" t="s">
        <v>134</v>
      </c>
      <c r="R215" s="8"/>
    </row>
    <row r="216">
      <c r="A216" s="6" t="s">
        <v>164</v>
      </c>
      <c r="B216" s="15">
        <v>12000.0</v>
      </c>
      <c r="C216" s="16">
        <v>12000.0</v>
      </c>
      <c r="D216" s="6" t="s">
        <v>136</v>
      </c>
      <c r="R216" s="8"/>
    </row>
    <row r="217">
      <c r="A217" s="6" t="s">
        <v>165</v>
      </c>
      <c r="B217" s="16">
        <v>6500.0</v>
      </c>
      <c r="C217" s="16">
        <v>6000.0</v>
      </c>
      <c r="D217" s="6" t="s">
        <v>136</v>
      </c>
      <c r="R217" s="8"/>
    </row>
    <row r="218">
      <c r="A218" s="6" t="s">
        <v>166</v>
      </c>
      <c r="B218" s="16">
        <v>12000.0</v>
      </c>
      <c r="C218" s="16">
        <v>12000.0</v>
      </c>
      <c r="D218" s="6" t="s">
        <v>167</v>
      </c>
      <c r="R218" s="8"/>
    </row>
    <row r="219">
      <c r="A219" s="6" t="s">
        <v>55</v>
      </c>
      <c r="B219" s="19"/>
      <c r="C219" s="16" t="s">
        <v>168</v>
      </c>
      <c r="R219" s="8"/>
    </row>
    <row r="220">
      <c r="A220" s="6" t="s">
        <v>125</v>
      </c>
      <c r="B220" s="16">
        <v>10000.0</v>
      </c>
      <c r="C220" s="16">
        <v>10000.0</v>
      </c>
      <c r="D220" s="6" t="s">
        <v>169</v>
      </c>
      <c r="R220" s="8"/>
    </row>
    <row r="221">
      <c r="A221" s="6" t="s">
        <v>4</v>
      </c>
      <c r="B221" s="16">
        <v>10000.0</v>
      </c>
      <c r="C221" s="16">
        <v>10000.0</v>
      </c>
      <c r="D221" s="6" t="s">
        <v>170</v>
      </c>
      <c r="R221" s="8"/>
    </row>
    <row r="222">
      <c r="A222" s="6" t="s">
        <v>86</v>
      </c>
      <c r="B222" s="19"/>
      <c r="C222" s="19"/>
      <c r="R222" s="8"/>
    </row>
    <row r="223">
      <c r="A223" s="6" t="s">
        <v>129</v>
      </c>
      <c r="B223" s="16">
        <v>8500.0</v>
      </c>
      <c r="C223" s="16">
        <v>5000.0</v>
      </c>
      <c r="D223" s="6" t="s">
        <v>171</v>
      </c>
      <c r="F223" s="26"/>
      <c r="G223" s="26"/>
      <c r="R223" s="8"/>
    </row>
    <row r="224">
      <c r="A224" s="6" t="s">
        <v>77</v>
      </c>
      <c r="B224" s="16">
        <v>12000.0</v>
      </c>
      <c r="C224" s="16">
        <v>11000.0</v>
      </c>
      <c r="D224" s="6" t="s">
        <v>167</v>
      </c>
      <c r="R224" s="8"/>
    </row>
    <row r="225">
      <c r="B225" s="19"/>
      <c r="C225" s="19"/>
      <c r="R225" s="8"/>
    </row>
    <row r="226">
      <c r="B226" s="19"/>
      <c r="C226" s="19"/>
      <c r="R226" s="8"/>
    </row>
    <row r="227">
      <c r="B227" s="19"/>
      <c r="C227" s="19"/>
      <c r="R227" s="8"/>
    </row>
    <row r="228">
      <c r="A228" s="83" t="s">
        <v>19</v>
      </c>
      <c r="B228" s="64">
        <f>52000</f>
        <v>52000</v>
      </c>
      <c r="C228" s="84">
        <f>SUM(C214:C227)</f>
        <v>81000</v>
      </c>
      <c r="R228" s="8"/>
    </row>
    <row r="229">
      <c r="A229" s="85" t="s">
        <v>20</v>
      </c>
      <c r="B229" s="65">
        <f>SUM(B218:B228)</f>
        <v>104500</v>
      </c>
      <c r="R229" s="8"/>
    </row>
    <row r="230">
      <c r="A230" s="6" t="s">
        <v>92</v>
      </c>
      <c r="B230" s="31">
        <f>B228+SUM(C218:C227)-E327</f>
        <v>13500</v>
      </c>
      <c r="R230" s="8"/>
    </row>
    <row r="231">
      <c r="A231" s="6" t="s">
        <v>93</v>
      </c>
      <c r="B231" s="15"/>
      <c r="R231" s="8"/>
    </row>
    <row r="232">
      <c r="A232" s="86" t="s">
        <v>172</v>
      </c>
      <c r="B232" s="31">
        <v>7600.0</v>
      </c>
      <c r="C232" s="34" t="s">
        <v>173</v>
      </c>
      <c r="R232" s="8"/>
    </row>
    <row r="233">
      <c r="A233" s="86" t="s">
        <v>24</v>
      </c>
      <c r="B233" s="36">
        <v>8000.0</v>
      </c>
      <c r="C233" s="34" t="s">
        <v>173</v>
      </c>
      <c r="E233" s="36">
        <v>1500.0</v>
      </c>
      <c r="F233" s="6" t="s">
        <v>174</v>
      </c>
      <c r="G233" s="6"/>
      <c r="R233" s="8"/>
    </row>
    <row r="234">
      <c r="A234" s="86" t="s">
        <v>175</v>
      </c>
      <c r="B234" s="36">
        <v>1000.0</v>
      </c>
      <c r="C234" s="35">
        <v>45661.0</v>
      </c>
      <c r="R234" s="8"/>
    </row>
    <row r="235">
      <c r="A235" s="86" t="s">
        <v>176</v>
      </c>
      <c r="B235" s="31">
        <v>500.0</v>
      </c>
      <c r="C235" s="35">
        <v>45692.0</v>
      </c>
      <c r="R235" s="8"/>
    </row>
    <row r="236">
      <c r="A236" s="86" t="s">
        <v>116</v>
      </c>
      <c r="B236" s="36">
        <v>50.0</v>
      </c>
      <c r="C236" s="35">
        <v>45661.0</v>
      </c>
      <c r="E236" s="40"/>
      <c r="R236" s="8"/>
    </row>
    <row r="237">
      <c r="A237" s="86" t="s">
        <v>177</v>
      </c>
      <c r="B237" s="36">
        <v>4000.0</v>
      </c>
      <c r="C237" s="34" t="s">
        <v>173</v>
      </c>
      <c r="E237" s="40"/>
      <c r="R237" s="8"/>
    </row>
    <row r="238">
      <c r="A238" s="86" t="s">
        <v>178</v>
      </c>
      <c r="B238" s="36">
        <v>5000.0</v>
      </c>
      <c r="C238" s="34" t="s">
        <v>179</v>
      </c>
      <c r="E238" s="40"/>
      <c r="R238" s="8"/>
    </row>
    <row r="239">
      <c r="A239" s="86" t="s">
        <v>180</v>
      </c>
      <c r="B239" s="36">
        <v>20.0</v>
      </c>
      <c r="C239" s="34" t="s">
        <v>181</v>
      </c>
      <c r="R239" s="8"/>
    </row>
    <row r="240">
      <c r="A240" s="86" t="s">
        <v>182</v>
      </c>
      <c r="B240" s="36">
        <v>20.0</v>
      </c>
      <c r="C240" s="35">
        <v>45873.0</v>
      </c>
      <c r="R240" s="8"/>
    </row>
    <row r="241">
      <c r="A241" s="86" t="s">
        <v>183</v>
      </c>
      <c r="B241" s="36" t="s">
        <v>184</v>
      </c>
      <c r="C241" s="34" t="s">
        <v>185</v>
      </c>
      <c r="D241" s="35">
        <v>45661.0</v>
      </c>
      <c r="E241" s="36">
        <v>500.0</v>
      </c>
      <c r="F241" s="6" t="s">
        <v>186</v>
      </c>
      <c r="G241" s="6"/>
      <c r="R241" s="8"/>
    </row>
    <row r="242">
      <c r="A242" s="87"/>
      <c r="B242" s="36">
        <v>-70.0</v>
      </c>
      <c r="C242" s="34" t="s">
        <v>185</v>
      </c>
      <c r="E242" s="36">
        <v>4000.0</v>
      </c>
      <c r="F242" s="6" t="s">
        <v>187</v>
      </c>
      <c r="G242" s="6"/>
      <c r="R242" s="8"/>
    </row>
    <row r="243">
      <c r="A243" s="86" t="s">
        <v>188</v>
      </c>
      <c r="B243" s="36">
        <v>70.0</v>
      </c>
      <c r="C243" s="34" t="s">
        <v>189</v>
      </c>
      <c r="E243" s="40"/>
      <c r="R243" s="8"/>
    </row>
    <row r="244">
      <c r="A244" s="86" t="s">
        <v>190</v>
      </c>
      <c r="B244" s="36">
        <v>70.0</v>
      </c>
      <c r="C244" s="34" t="s">
        <v>191</v>
      </c>
      <c r="E244" s="40"/>
      <c r="R244" s="8"/>
    </row>
    <row r="245">
      <c r="A245" s="86" t="s">
        <v>180</v>
      </c>
      <c r="B245" s="79">
        <v>1100.0</v>
      </c>
      <c r="C245" s="34" t="s">
        <v>192</v>
      </c>
      <c r="R245" s="8"/>
    </row>
    <row r="246">
      <c r="A246" s="88" t="s">
        <v>34</v>
      </c>
      <c r="B246" s="36">
        <v>50.0</v>
      </c>
      <c r="C246" s="35"/>
      <c r="E246" s="40"/>
      <c r="R246" s="8"/>
    </row>
    <row r="247">
      <c r="A247" s="88" t="s">
        <v>34</v>
      </c>
      <c r="B247" s="36">
        <v>10.0</v>
      </c>
      <c r="E247" s="40"/>
      <c r="R247" s="8"/>
    </row>
    <row r="248">
      <c r="A248" s="88" t="s">
        <v>34</v>
      </c>
      <c r="B248" s="36">
        <v>30.0</v>
      </c>
      <c r="C248" s="35">
        <v>45812.0</v>
      </c>
      <c r="E248" s="40"/>
      <c r="R248" s="8"/>
    </row>
    <row r="249">
      <c r="A249" s="88" t="s">
        <v>34</v>
      </c>
      <c r="B249" s="36">
        <v>60.0</v>
      </c>
      <c r="C249" s="35">
        <v>45904.0</v>
      </c>
      <c r="E249" s="40"/>
      <c r="H249" s="89" t="s">
        <v>172</v>
      </c>
      <c r="I249" s="90">
        <v>7600.0</v>
      </c>
      <c r="J249" s="91"/>
      <c r="K249" s="91"/>
      <c r="R249" s="8"/>
    </row>
    <row r="250">
      <c r="A250" s="6" t="s">
        <v>186</v>
      </c>
      <c r="B250" s="36">
        <v>145.0</v>
      </c>
      <c r="C250" s="35">
        <v>45661.0</v>
      </c>
      <c r="D250" s="35">
        <v>45781.0</v>
      </c>
      <c r="E250" s="36">
        <v>500.0</v>
      </c>
      <c r="F250" s="6" t="s">
        <v>186</v>
      </c>
      <c r="G250" s="6"/>
      <c r="H250" s="89" t="s">
        <v>193</v>
      </c>
      <c r="I250" s="90">
        <v>8000.0</v>
      </c>
      <c r="J250" s="91"/>
      <c r="K250" s="91"/>
      <c r="R250" s="8"/>
    </row>
    <row r="251">
      <c r="A251" s="92" t="s">
        <v>194</v>
      </c>
      <c r="B251" s="36">
        <v>3615.0</v>
      </c>
      <c r="C251" s="35">
        <v>45692.0</v>
      </c>
      <c r="E251" s="40"/>
      <c r="H251" s="89" t="s">
        <v>195</v>
      </c>
      <c r="I251" s="90">
        <v>11760.0</v>
      </c>
      <c r="J251" s="91"/>
      <c r="K251" s="91"/>
      <c r="R251" s="8"/>
    </row>
    <row r="252">
      <c r="A252" s="93" t="s">
        <v>196</v>
      </c>
      <c r="B252" s="36">
        <v>120.0</v>
      </c>
      <c r="C252" s="35">
        <v>45720.0</v>
      </c>
      <c r="D252" s="35">
        <v>45812.0</v>
      </c>
      <c r="E252" s="36">
        <v>500.0</v>
      </c>
      <c r="F252" s="6" t="s">
        <v>186</v>
      </c>
      <c r="G252" s="6"/>
      <c r="H252" s="89" t="s">
        <v>197</v>
      </c>
      <c r="I252" s="94">
        <f>B250+B256+B258+B260+B261+B263+B264+B266+B270+B271+B272+B274+B275+B276+B277+B278+B280+B281+B285+B287+B291+B292+B296+B307+B312+B316+B318</f>
        <v>4877</v>
      </c>
      <c r="J252" s="89">
        <v>1665.0</v>
      </c>
      <c r="K252" s="89" t="s">
        <v>173</v>
      </c>
      <c r="R252" s="8"/>
    </row>
    <row r="253">
      <c r="A253" s="92" t="s">
        <v>198</v>
      </c>
      <c r="B253" s="36">
        <v>30.0</v>
      </c>
      <c r="C253" s="35"/>
      <c r="H253" s="89" t="s">
        <v>199</v>
      </c>
      <c r="I253" s="94">
        <f>B252+B255+B259+B262+B267+B284+B288+B293+B320+B311</f>
        <v>1015</v>
      </c>
      <c r="J253" s="89">
        <v>690.0</v>
      </c>
      <c r="K253" s="89" t="s">
        <v>173</v>
      </c>
      <c r="R253" s="8"/>
    </row>
    <row r="254">
      <c r="A254" s="92" t="s">
        <v>140</v>
      </c>
      <c r="B254" s="36">
        <v>90.0</v>
      </c>
      <c r="E254" s="40"/>
      <c r="H254" s="89" t="s">
        <v>10</v>
      </c>
      <c r="I254" s="94">
        <f>B251+B253+B254+B257+B273</f>
        <v>6435</v>
      </c>
      <c r="J254" s="89">
        <v>6435.0</v>
      </c>
      <c r="K254" s="89" t="s">
        <v>173</v>
      </c>
      <c r="R254" s="8"/>
    </row>
    <row r="255">
      <c r="A255" s="93" t="s">
        <v>200</v>
      </c>
      <c r="B255" s="36">
        <v>250.0</v>
      </c>
      <c r="D255" s="35">
        <v>45842.0</v>
      </c>
      <c r="E255" s="36">
        <v>2000.0</v>
      </c>
      <c r="F255" s="6" t="s">
        <v>201</v>
      </c>
      <c r="G255" s="6"/>
      <c r="H255" s="89" t="s">
        <v>202</v>
      </c>
      <c r="I255" s="94">
        <f>B246+B247+B248+B249</f>
        <v>150</v>
      </c>
      <c r="J255" s="89">
        <v>150.0</v>
      </c>
      <c r="K255" s="89" t="s">
        <v>173</v>
      </c>
      <c r="R255" s="8"/>
    </row>
    <row r="256">
      <c r="A256" s="6" t="s">
        <v>186</v>
      </c>
      <c r="B256" s="36">
        <v>60.0</v>
      </c>
      <c r="C256" s="35"/>
      <c r="E256" s="40"/>
      <c r="H256" s="89" t="s">
        <v>203</v>
      </c>
      <c r="I256" s="94">
        <f>B240+B268+B269+B279+B282+B283+B286+B294+B295+B305+B308</f>
        <v>1088</v>
      </c>
      <c r="J256" s="89">
        <v>506.0</v>
      </c>
      <c r="K256" s="89" t="s">
        <v>173</v>
      </c>
      <c r="R256" s="8"/>
    </row>
    <row r="257">
      <c r="A257" s="92" t="s">
        <v>106</v>
      </c>
      <c r="B257" s="36">
        <v>480.0</v>
      </c>
      <c r="C257" s="35">
        <v>45781.0</v>
      </c>
      <c r="E257" s="40"/>
      <c r="H257" s="89" t="s">
        <v>47</v>
      </c>
      <c r="I257" s="94">
        <f>B289+B290</f>
        <v>27400</v>
      </c>
      <c r="R257" s="8"/>
    </row>
    <row r="258">
      <c r="A258" s="6" t="s">
        <v>186</v>
      </c>
      <c r="B258" s="36">
        <v>60.0</v>
      </c>
      <c r="E258" s="40"/>
      <c r="H258" s="89" t="s">
        <v>204</v>
      </c>
      <c r="I258" s="94">
        <f>sum(B297:B304)+B306+B310+sum(B313:B315)+B319</f>
        <v>22355</v>
      </c>
      <c r="R258" s="8"/>
    </row>
    <row r="259">
      <c r="A259" s="93" t="s">
        <v>205</v>
      </c>
      <c r="B259" s="36">
        <v>60.0</v>
      </c>
      <c r="D259" s="35">
        <v>45904.0</v>
      </c>
      <c r="E259" s="36">
        <v>4000.0</v>
      </c>
      <c r="F259" s="6" t="s">
        <v>206</v>
      </c>
      <c r="G259" s="6"/>
      <c r="R259" s="8"/>
    </row>
    <row r="260">
      <c r="A260" s="6" t="s">
        <v>186</v>
      </c>
      <c r="B260" s="36">
        <v>180.0</v>
      </c>
      <c r="C260" s="35">
        <v>45812.0</v>
      </c>
      <c r="E260" s="40"/>
      <c r="R260" s="8"/>
    </row>
    <row r="261">
      <c r="A261" s="6" t="s">
        <v>186</v>
      </c>
      <c r="B261" s="36">
        <v>80.0</v>
      </c>
      <c r="C261" s="35">
        <v>45842.0</v>
      </c>
      <c r="E261" s="40"/>
      <c r="R261" s="8"/>
    </row>
    <row r="262">
      <c r="A262" s="93" t="s">
        <v>207</v>
      </c>
      <c r="B262" s="36">
        <v>160.0</v>
      </c>
      <c r="E262" s="36">
        <v>-5000.0</v>
      </c>
      <c r="F262" s="6" t="s">
        <v>208</v>
      </c>
      <c r="G262" s="6"/>
      <c r="R262" s="8"/>
    </row>
    <row r="263">
      <c r="A263" s="6" t="s">
        <v>186</v>
      </c>
      <c r="B263" s="36">
        <v>145.0</v>
      </c>
      <c r="C263" s="35">
        <v>45873.0</v>
      </c>
      <c r="E263" s="40"/>
      <c r="R263" s="8"/>
    </row>
    <row r="264">
      <c r="A264" s="6" t="s">
        <v>186</v>
      </c>
      <c r="B264" s="36">
        <v>100.0</v>
      </c>
      <c r="E264" s="40"/>
      <c r="R264" s="8"/>
    </row>
    <row r="265">
      <c r="A265" s="92" t="s">
        <v>209</v>
      </c>
      <c r="B265" s="36" t="s">
        <v>210</v>
      </c>
      <c r="E265" s="40"/>
      <c r="H265" s="95" t="s">
        <v>211</v>
      </c>
      <c r="I265" s="96">
        <f>Sum(B214:B227)</f>
        <v>87000</v>
      </c>
      <c r="R265" s="8"/>
    </row>
    <row r="266">
      <c r="A266" s="6" t="s">
        <v>186</v>
      </c>
      <c r="B266" s="36">
        <v>245.0</v>
      </c>
      <c r="C266" s="35">
        <v>45934.0</v>
      </c>
      <c r="E266" s="40"/>
      <c r="H266" s="95" t="s">
        <v>212</v>
      </c>
      <c r="I266" s="96">
        <f>SUM(I249:I258)</f>
        <v>90680</v>
      </c>
      <c r="R266" s="8"/>
    </row>
    <row r="267">
      <c r="A267" s="93" t="s">
        <v>213</v>
      </c>
      <c r="B267" s="36">
        <v>100.0</v>
      </c>
      <c r="D267" s="35">
        <v>45995.0</v>
      </c>
      <c r="E267" s="36">
        <v>436.0</v>
      </c>
      <c r="F267" s="6" t="s">
        <v>214</v>
      </c>
      <c r="G267" s="6"/>
      <c r="H267" s="95" t="s">
        <v>120</v>
      </c>
      <c r="I267" s="96">
        <f>I265-I266</f>
        <v>-3680</v>
      </c>
      <c r="R267" s="8"/>
    </row>
    <row r="268">
      <c r="A268" s="51" t="s">
        <v>214</v>
      </c>
      <c r="B268" s="36">
        <v>436.0</v>
      </c>
      <c r="C268" s="35">
        <v>45934.0</v>
      </c>
      <c r="E268" s="36">
        <v>50.0</v>
      </c>
      <c r="F268" s="6" t="s">
        <v>116</v>
      </c>
      <c r="G268" s="6"/>
      <c r="R268" s="8"/>
    </row>
    <row r="269">
      <c r="A269" s="51" t="s">
        <v>116</v>
      </c>
      <c r="B269" s="36">
        <v>50.0</v>
      </c>
      <c r="D269" s="34" t="s">
        <v>215</v>
      </c>
      <c r="E269" s="36">
        <v>2000.0</v>
      </c>
      <c r="F269" s="6" t="s">
        <v>108</v>
      </c>
      <c r="G269" s="6"/>
      <c r="R269" s="8"/>
    </row>
    <row r="270">
      <c r="A270" s="6" t="s">
        <v>186</v>
      </c>
      <c r="B270" s="36">
        <v>120.0</v>
      </c>
      <c r="C270" s="35">
        <v>45965.0</v>
      </c>
      <c r="D270" s="34" t="s">
        <v>173</v>
      </c>
      <c r="E270" s="36">
        <v>20000.0</v>
      </c>
      <c r="F270" s="6" t="s">
        <v>216</v>
      </c>
      <c r="G270" s="6"/>
      <c r="R270" s="8"/>
    </row>
    <row r="271">
      <c r="A271" s="6" t="s">
        <v>186</v>
      </c>
      <c r="B271" s="36">
        <v>300.0</v>
      </c>
      <c r="C271" s="35">
        <v>45995.0</v>
      </c>
      <c r="E271" s="40"/>
      <c r="R271" s="8"/>
    </row>
    <row r="272">
      <c r="A272" s="6" t="s">
        <v>186</v>
      </c>
      <c r="B272" s="36">
        <v>50.0</v>
      </c>
      <c r="C272" s="34" t="s">
        <v>215</v>
      </c>
      <c r="E272" s="40"/>
      <c r="R272" s="8"/>
    </row>
    <row r="273">
      <c r="A273" s="92" t="s">
        <v>32</v>
      </c>
      <c r="B273" s="36">
        <v>2220.0</v>
      </c>
      <c r="D273" s="52"/>
      <c r="E273" s="40"/>
      <c r="R273" s="8"/>
    </row>
    <row r="274">
      <c r="A274" s="6" t="s">
        <v>186</v>
      </c>
      <c r="B274" s="36">
        <v>180.0</v>
      </c>
      <c r="C274" s="34" t="s">
        <v>173</v>
      </c>
      <c r="E274" s="40"/>
      <c r="R274" s="8"/>
    </row>
    <row r="275">
      <c r="A275" s="6" t="s">
        <v>186</v>
      </c>
      <c r="B275" s="36">
        <v>80.0</v>
      </c>
      <c r="C275" s="34" t="s">
        <v>185</v>
      </c>
      <c r="D275" s="34" t="s">
        <v>179</v>
      </c>
      <c r="E275" s="36">
        <v>5000.0</v>
      </c>
      <c r="F275" s="6" t="s">
        <v>41</v>
      </c>
      <c r="G275" s="6"/>
      <c r="R275" s="8"/>
    </row>
    <row r="276">
      <c r="A276" s="6" t="s">
        <v>186</v>
      </c>
      <c r="B276" s="36">
        <v>190.0</v>
      </c>
      <c r="C276" s="34" t="s">
        <v>191</v>
      </c>
      <c r="E276" s="40"/>
      <c r="R276" s="8"/>
    </row>
    <row r="277">
      <c r="A277" s="6" t="s">
        <v>186</v>
      </c>
      <c r="B277" s="36">
        <v>190.0</v>
      </c>
      <c r="C277" s="34" t="s">
        <v>179</v>
      </c>
      <c r="E277" s="6">
        <v>500.0</v>
      </c>
      <c r="F277" s="6" t="s">
        <v>217</v>
      </c>
      <c r="G277" s="6"/>
      <c r="R277" s="8"/>
    </row>
    <row r="278">
      <c r="A278" s="6" t="s">
        <v>186</v>
      </c>
      <c r="B278" s="36">
        <v>365.0</v>
      </c>
      <c r="C278" s="34" t="s">
        <v>218</v>
      </c>
      <c r="E278" s="36">
        <v>469.0</v>
      </c>
      <c r="F278" s="6" t="s">
        <v>219</v>
      </c>
      <c r="G278" s="6"/>
      <c r="R278" s="8"/>
    </row>
    <row r="279">
      <c r="A279" s="51" t="s">
        <v>219</v>
      </c>
      <c r="B279" s="6">
        <v>469.0</v>
      </c>
      <c r="C279" s="34" t="s">
        <v>220</v>
      </c>
      <c r="R279" s="8"/>
    </row>
    <row r="280">
      <c r="A280" s="6" t="s">
        <v>186</v>
      </c>
      <c r="B280" s="6">
        <v>80.0</v>
      </c>
      <c r="C280" s="34" t="s">
        <v>220</v>
      </c>
      <c r="R280" s="8"/>
    </row>
    <row r="281">
      <c r="A281" s="6" t="s">
        <v>186</v>
      </c>
      <c r="B281" s="6">
        <v>140.0</v>
      </c>
      <c r="C281" s="34" t="s">
        <v>221</v>
      </c>
      <c r="D281" s="34" t="s">
        <v>181</v>
      </c>
      <c r="E281" s="6">
        <v>500.0</v>
      </c>
      <c r="F281" s="6" t="s">
        <v>186</v>
      </c>
      <c r="G281" s="6"/>
      <c r="H281" s="6" t="s">
        <v>222</v>
      </c>
      <c r="I281" s="19">
        <f>I252+I253+I256</f>
        <v>6980</v>
      </c>
      <c r="R281" s="8"/>
    </row>
    <row r="282">
      <c r="A282" s="51" t="s">
        <v>223</v>
      </c>
      <c r="B282" s="6">
        <v>90.0</v>
      </c>
      <c r="C282" s="34" t="s">
        <v>181</v>
      </c>
      <c r="E282" s="6">
        <v>45.0</v>
      </c>
      <c r="F282" s="6" t="s">
        <v>116</v>
      </c>
      <c r="G282" s="6"/>
      <c r="H282" s="6" t="s">
        <v>224</v>
      </c>
      <c r="I282" s="19">
        <f>I254</f>
        <v>6435</v>
      </c>
      <c r="R282" s="8"/>
    </row>
    <row r="283">
      <c r="A283" s="51" t="s">
        <v>116</v>
      </c>
      <c r="B283" s="6">
        <v>45.0</v>
      </c>
      <c r="C283" s="6"/>
      <c r="H283" s="6" t="s">
        <v>216</v>
      </c>
      <c r="I283" s="19">
        <f>I249+I250+I251+I255</f>
        <v>27510</v>
      </c>
      <c r="R283" s="8"/>
    </row>
    <row r="284">
      <c r="A284" s="93" t="s">
        <v>225</v>
      </c>
      <c r="B284" s="6">
        <v>35.0</v>
      </c>
      <c r="H284" s="6" t="s">
        <v>226</v>
      </c>
      <c r="I284" s="19">
        <f>I258</f>
        <v>22355</v>
      </c>
      <c r="R284" s="8"/>
    </row>
    <row r="285">
      <c r="A285" s="6" t="s">
        <v>186</v>
      </c>
      <c r="B285" s="6">
        <v>195.0</v>
      </c>
      <c r="C285" s="34" t="s">
        <v>181</v>
      </c>
      <c r="R285" s="8"/>
    </row>
    <row r="286">
      <c r="A286" s="51" t="s">
        <v>227</v>
      </c>
      <c r="B286" s="6">
        <v>158.0</v>
      </c>
      <c r="D286" s="34" t="s">
        <v>228</v>
      </c>
      <c r="E286" s="6">
        <v>500.0</v>
      </c>
      <c r="F286" s="6" t="s">
        <v>186</v>
      </c>
      <c r="G286" s="6"/>
      <c r="R286" s="8"/>
    </row>
    <row r="287">
      <c r="A287" s="6" t="s">
        <v>186</v>
      </c>
      <c r="B287" s="6">
        <v>150.0</v>
      </c>
      <c r="C287" s="34" t="s">
        <v>228</v>
      </c>
      <c r="R287" s="8"/>
    </row>
    <row r="288">
      <c r="A288" s="93" t="s">
        <v>229</v>
      </c>
      <c r="B288" s="6">
        <v>15.0</v>
      </c>
      <c r="D288" s="34" t="s">
        <v>228</v>
      </c>
      <c r="E288" s="6">
        <v>27500.0</v>
      </c>
      <c r="F288" s="6" t="s">
        <v>230</v>
      </c>
      <c r="G288" s="6"/>
      <c r="R288" s="8"/>
    </row>
    <row r="289">
      <c r="A289" s="51" t="s">
        <v>231</v>
      </c>
      <c r="B289" s="6">
        <v>25000.0</v>
      </c>
      <c r="C289" s="34" t="s">
        <v>232</v>
      </c>
      <c r="R289" s="8"/>
    </row>
    <row r="290">
      <c r="A290" s="51" t="s">
        <v>233</v>
      </c>
      <c r="B290" s="6">
        <v>2400.0</v>
      </c>
      <c r="R290" s="8"/>
    </row>
    <row r="291">
      <c r="A291" s="6" t="s">
        <v>186</v>
      </c>
      <c r="B291" s="6">
        <v>245.0</v>
      </c>
      <c r="C291" s="34" t="s">
        <v>234</v>
      </c>
      <c r="R291" s="8"/>
    </row>
    <row r="292">
      <c r="A292" s="6" t="s">
        <v>186</v>
      </c>
      <c r="B292" s="6">
        <v>137.0</v>
      </c>
      <c r="C292" s="34" t="s">
        <v>235</v>
      </c>
      <c r="D292" s="34" t="s">
        <v>235</v>
      </c>
      <c r="E292" s="6">
        <v>500.0</v>
      </c>
      <c r="F292" s="6" t="s">
        <v>186</v>
      </c>
      <c r="G292" s="6"/>
      <c r="R292" s="8"/>
    </row>
    <row r="293">
      <c r="A293" s="6" t="s">
        <v>68</v>
      </c>
      <c r="B293" s="6">
        <v>30.0</v>
      </c>
      <c r="R293" s="8"/>
    </row>
    <row r="294">
      <c r="A294" s="6" t="s">
        <v>4</v>
      </c>
      <c r="B294" s="6">
        <v>110.0</v>
      </c>
      <c r="C294" s="34" t="s">
        <v>236</v>
      </c>
      <c r="R294" s="8"/>
    </row>
    <row r="295">
      <c r="A295" s="6" t="s">
        <v>4</v>
      </c>
      <c r="B295" s="6">
        <v>-500.0</v>
      </c>
      <c r="R295" s="8"/>
    </row>
    <row r="296">
      <c r="A296" s="6" t="s">
        <v>186</v>
      </c>
      <c r="B296" s="6">
        <v>140.0</v>
      </c>
      <c r="C296" s="34" t="s">
        <v>236</v>
      </c>
      <c r="I296" s="5" t="s">
        <v>144</v>
      </c>
      <c r="J296" s="6">
        <v>10000.0</v>
      </c>
      <c r="K296" s="35">
        <v>45903.0</v>
      </c>
      <c r="R296" s="8"/>
    </row>
    <row r="297">
      <c r="A297" s="29" t="s">
        <v>237</v>
      </c>
      <c r="B297" s="29">
        <v>1100.0</v>
      </c>
      <c r="C297" s="34" t="s">
        <v>238</v>
      </c>
      <c r="E297" s="40"/>
      <c r="I297" s="29" t="s">
        <v>237</v>
      </c>
      <c r="J297" s="29">
        <v>1100.0</v>
      </c>
      <c r="K297" s="34" t="s">
        <v>238</v>
      </c>
      <c r="R297" s="8"/>
    </row>
    <row r="298">
      <c r="A298" s="29" t="s">
        <v>239</v>
      </c>
      <c r="B298" s="29">
        <v>500.0</v>
      </c>
      <c r="D298" s="34" t="s">
        <v>238</v>
      </c>
      <c r="E298" s="36">
        <v>13000.0</v>
      </c>
      <c r="I298" s="29" t="s">
        <v>239</v>
      </c>
      <c r="J298" s="29">
        <v>500.0</v>
      </c>
      <c r="R298" s="8"/>
    </row>
    <row r="299">
      <c r="A299" s="29" t="s">
        <v>240</v>
      </c>
      <c r="B299" s="29">
        <v>4440.0</v>
      </c>
      <c r="I299" s="29" t="s">
        <v>240</v>
      </c>
      <c r="J299" s="29">
        <v>4440.0</v>
      </c>
      <c r="R299" s="8"/>
    </row>
    <row r="300">
      <c r="A300" s="29" t="s">
        <v>241</v>
      </c>
      <c r="B300" s="29">
        <v>1000.0</v>
      </c>
      <c r="I300" s="29" t="s">
        <v>241</v>
      </c>
      <c r="J300" s="29">
        <v>1000.0</v>
      </c>
      <c r="R300" s="8"/>
    </row>
    <row r="301">
      <c r="A301" s="29" t="s">
        <v>242</v>
      </c>
      <c r="B301" s="29">
        <v>1400.0</v>
      </c>
      <c r="I301" s="29" t="s">
        <v>242</v>
      </c>
      <c r="J301" s="29">
        <v>1400.0</v>
      </c>
      <c r="R301" s="8"/>
    </row>
    <row r="302">
      <c r="A302" s="29" t="s">
        <v>243</v>
      </c>
      <c r="B302" s="29">
        <v>600.0</v>
      </c>
      <c r="I302" s="29" t="s">
        <v>243</v>
      </c>
      <c r="J302" s="29">
        <v>600.0</v>
      </c>
      <c r="R302" s="8"/>
    </row>
    <row r="303">
      <c r="A303" s="29" t="s">
        <v>244</v>
      </c>
      <c r="B303" s="29">
        <v>1200.0</v>
      </c>
      <c r="I303" s="29" t="s">
        <v>244</v>
      </c>
      <c r="J303" s="29">
        <v>1200.0</v>
      </c>
      <c r="R303" s="8"/>
    </row>
    <row r="304">
      <c r="A304" s="29" t="s">
        <v>245</v>
      </c>
      <c r="B304" s="29">
        <v>800.0</v>
      </c>
      <c r="I304" s="29" t="s">
        <v>245</v>
      </c>
      <c r="J304" s="29">
        <v>800.0</v>
      </c>
      <c r="R304" s="8"/>
    </row>
    <row r="305">
      <c r="A305" s="6" t="s">
        <v>246</v>
      </c>
      <c r="B305" s="6">
        <v>10.0</v>
      </c>
      <c r="I305" s="29" t="s">
        <v>63</v>
      </c>
      <c r="J305" s="29">
        <v>200.0</v>
      </c>
      <c r="R305" s="8"/>
    </row>
    <row r="306">
      <c r="A306" s="29" t="s">
        <v>63</v>
      </c>
      <c r="B306" s="29">
        <v>200.0</v>
      </c>
      <c r="I306" s="29" t="s">
        <v>247</v>
      </c>
      <c r="J306" s="29">
        <v>8500.0</v>
      </c>
      <c r="K306" s="34" t="s">
        <v>248</v>
      </c>
      <c r="R306" s="8"/>
    </row>
    <row r="307">
      <c r="A307" s="6" t="s">
        <v>186</v>
      </c>
      <c r="B307" s="6">
        <v>290.0</v>
      </c>
      <c r="I307" s="29" t="s">
        <v>249</v>
      </c>
      <c r="J307" s="29">
        <v>915.0</v>
      </c>
      <c r="K307" s="34" t="s">
        <v>250</v>
      </c>
      <c r="L307" s="6">
        <v>7500.0</v>
      </c>
      <c r="R307" s="8"/>
    </row>
    <row r="308">
      <c r="A308" s="6" t="s">
        <v>251</v>
      </c>
      <c r="B308" s="6">
        <v>200.0</v>
      </c>
      <c r="G308" s="60"/>
      <c r="I308" s="29" t="s">
        <v>252</v>
      </c>
      <c r="J308" s="29">
        <v>600.0</v>
      </c>
      <c r="R308" s="8"/>
    </row>
    <row r="309">
      <c r="A309" s="6" t="s">
        <v>253</v>
      </c>
      <c r="B309" s="6">
        <v>40.0</v>
      </c>
      <c r="I309" s="29" t="s">
        <v>63</v>
      </c>
      <c r="J309" s="29">
        <v>100.0</v>
      </c>
      <c r="R309" s="8"/>
    </row>
    <row r="310">
      <c r="A310" s="29" t="s">
        <v>247</v>
      </c>
      <c r="B310" s="29">
        <v>8500.0</v>
      </c>
      <c r="C310" s="34" t="s">
        <v>248</v>
      </c>
      <c r="D310" s="34" t="s">
        <v>248</v>
      </c>
      <c r="E310" s="6">
        <v>7000.0</v>
      </c>
      <c r="F310" s="6" t="s">
        <v>254</v>
      </c>
      <c r="I310" s="29" t="s">
        <v>255</v>
      </c>
      <c r="J310" s="29">
        <v>1000.0</v>
      </c>
      <c r="K310" s="34" t="s">
        <v>192</v>
      </c>
      <c r="L310" s="6">
        <v>8500.0</v>
      </c>
      <c r="R310" s="8"/>
    </row>
    <row r="311">
      <c r="A311" s="6" t="s">
        <v>256</v>
      </c>
      <c r="B311" s="6">
        <v>185.0</v>
      </c>
      <c r="J311" s="97">
        <f>SUM(J296:J310)</f>
        <v>32355</v>
      </c>
      <c r="K311" s="98"/>
      <c r="L311" s="97">
        <f>SUM(L306:L310)</f>
        <v>16000</v>
      </c>
      <c r="R311" s="8"/>
    </row>
    <row r="312">
      <c r="A312" s="6" t="s">
        <v>186</v>
      </c>
      <c r="B312" s="6">
        <v>350.0</v>
      </c>
      <c r="R312" s="8"/>
    </row>
    <row r="313">
      <c r="A313" s="29" t="s">
        <v>249</v>
      </c>
      <c r="B313" s="29">
        <v>915.0</v>
      </c>
      <c r="C313" s="34" t="s">
        <v>250</v>
      </c>
      <c r="R313" s="8"/>
    </row>
    <row r="314">
      <c r="A314" s="29" t="s">
        <v>252</v>
      </c>
      <c r="B314" s="29">
        <v>600.0</v>
      </c>
      <c r="R314" s="8"/>
    </row>
    <row r="315">
      <c r="A315" s="29" t="s">
        <v>63</v>
      </c>
      <c r="B315" s="29">
        <v>100.0</v>
      </c>
      <c r="R315" s="8"/>
    </row>
    <row r="316">
      <c r="A316" s="6" t="s">
        <v>186</v>
      </c>
      <c r="B316" s="6">
        <v>335.0</v>
      </c>
      <c r="R316" s="8"/>
    </row>
    <row r="317">
      <c r="R317" s="8"/>
    </row>
    <row r="318">
      <c r="A318" s="6" t="s">
        <v>186</v>
      </c>
      <c r="B318" s="6">
        <v>325.0</v>
      </c>
      <c r="R318" s="8"/>
    </row>
    <row r="319">
      <c r="A319" s="29" t="s">
        <v>255</v>
      </c>
      <c r="B319" s="29">
        <v>1000.0</v>
      </c>
      <c r="D319" s="34" t="s">
        <v>192</v>
      </c>
      <c r="E319" s="6">
        <v>1000.0</v>
      </c>
      <c r="F319" s="6" t="s">
        <v>255</v>
      </c>
      <c r="R319" s="8"/>
    </row>
    <row r="320">
      <c r="A320" s="6" t="s">
        <v>257</v>
      </c>
      <c r="B320" s="6">
        <v>60.0</v>
      </c>
      <c r="R320" s="8"/>
    </row>
    <row r="321">
      <c r="C321" s="99"/>
      <c r="D321" s="99"/>
      <c r="R321" s="8"/>
    </row>
    <row r="322">
      <c r="A322" s="6"/>
      <c r="B322" s="6"/>
      <c r="R322" s="8"/>
    </row>
    <row r="323">
      <c r="A323" s="6"/>
      <c r="B323" s="6"/>
      <c r="R323" s="8"/>
    </row>
    <row r="324">
      <c r="A324" s="6"/>
      <c r="B324" s="6"/>
      <c r="R324" s="8"/>
    </row>
    <row r="325">
      <c r="R325" s="8"/>
    </row>
    <row r="326">
      <c r="R326" s="8"/>
    </row>
    <row r="327">
      <c r="A327" s="100" t="s">
        <v>118</v>
      </c>
      <c r="C327" s="74">
        <f>SUM(B231:B318)</f>
        <v>89640</v>
      </c>
      <c r="D327" s="58" t="s">
        <v>258</v>
      </c>
      <c r="E327" s="59">
        <f>SUM(E231:E326)</f>
        <v>86500</v>
      </c>
      <c r="F327" s="101">
        <f>C327-E327</f>
        <v>3140</v>
      </c>
      <c r="R327" s="8"/>
    </row>
    <row r="328">
      <c r="A328" s="102"/>
      <c r="B328" s="76">
        <f>SUM(B230:B327)</f>
        <v>104200</v>
      </c>
      <c r="R328" s="8"/>
    </row>
    <row r="329">
      <c r="A329" s="12" t="s">
        <v>119</v>
      </c>
      <c r="B329" s="65">
        <f>B229-B328</f>
        <v>300</v>
      </c>
      <c r="C329" s="6">
        <v>400.0</v>
      </c>
      <c r="R329" s="8"/>
    </row>
    <row r="330">
      <c r="B330" s="63"/>
      <c r="C330" s="19">
        <f>B329-C329</f>
        <v>-100</v>
      </c>
      <c r="R330" s="8"/>
    </row>
    <row r="331">
      <c r="A331" s="6" t="s">
        <v>120</v>
      </c>
      <c r="B331" s="103">
        <f>B230</f>
        <v>13500</v>
      </c>
      <c r="R331" s="8"/>
    </row>
    <row r="332">
      <c r="R332" s="8"/>
    </row>
    <row r="333">
      <c r="A333" s="1" t="s">
        <v>0</v>
      </c>
      <c r="B333" s="2" t="s">
        <v>259</v>
      </c>
      <c r="C333" s="3"/>
      <c r="D333" s="3"/>
      <c r="E333" s="3"/>
      <c r="F333" s="3"/>
      <c r="G333" s="3"/>
      <c r="H333" s="3"/>
      <c r="I333" s="3"/>
      <c r="J333" s="3"/>
      <c r="K333" s="3"/>
      <c r="R333" s="8"/>
    </row>
    <row r="334">
      <c r="A334" s="6" t="s">
        <v>2</v>
      </c>
      <c r="B334" s="11" t="s">
        <v>260</v>
      </c>
      <c r="C334" s="12" t="s">
        <v>92</v>
      </c>
      <c r="D334" s="6" t="s">
        <v>54</v>
      </c>
      <c r="R334" s="8"/>
    </row>
    <row r="335">
      <c r="A335" s="6" t="s">
        <v>163</v>
      </c>
      <c r="B335" s="15">
        <v>5500.0</v>
      </c>
      <c r="C335" s="16">
        <v>5000.0</v>
      </c>
      <c r="D335" s="6" t="s">
        <v>261</v>
      </c>
      <c r="R335" s="8"/>
    </row>
    <row r="336">
      <c r="A336" s="6" t="s">
        <v>64</v>
      </c>
      <c r="B336" s="15">
        <v>9000.0</v>
      </c>
      <c r="C336" s="16">
        <v>6660.0</v>
      </c>
      <c r="D336" s="6" t="s">
        <v>262</v>
      </c>
      <c r="R336" s="8"/>
    </row>
    <row r="337">
      <c r="A337" s="6" t="s">
        <v>164</v>
      </c>
      <c r="B337" s="15">
        <v>11500.0</v>
      </c>
      <c r="C337" s="16">
        <v>11000.0</v>
      </c>
      <c r="D337" s="6" t="s">
        <v>263</v>
      </c>
      <c r="R337" s="8"/>
    </row>
    <row r="338">
      <c r="A338" s="6" t="s">
        <v>165</v>
      </c>
      <c r="B338" s="16">
        <v>10000.0</v>
      </c>
      <c r="C338" s="16">
        <v>10000.0</v>
      </c>
      <c r="D338" s="6" t="s">
        <v>262</v>
      </c>
      <c r="R338" s="8"/>
    </row>
    <row r="339">
      <c r="A339" s="6" t="s">
        <v>166</v>
      </c>
      <c r="B339" s="16">
        <v>12000.0</v>
      </c>
      <c r="C339" s="16">
        <v>11000.0</v>
      </c>
      <c r="D339" s="6" t="s">
        <v>261</v>
      </c>
      <c r="R339" s="8"/>
    </row>
    <row r="340">
      <c r="A340" s="6" t="s">
        <v>264</v>
      </c>
      <c r="B340" s="16">
        <v>15000.0</v>
      </c>
      <c r="C340" s="16">
        <v>15000.0</v>
      </c>
      <c r="D340" s="6" t="s">
        <v>265</v>
      </c>
      <c r="R340" s="8"/>
    </row>
    <row r="341">
      <c r="A341" s="6" t="s">
        <v>125</v>
      </c>
      <c r="B341" s="16">
        <v>11000.0</v>
      </c>
      <c r="C341" s="16">
        <v>9500.0</v>
      </c>
      <c r="D341" s="6" t="s">
        <v>266</v>
      </c>
      <c r="R341" s="8"/>
    </row>
    <row r="342">
      <c r="A342" s="6" t="s">
        <v>4</v>
      </c>
      <c r="B342" s="16">
        <v>10000.0</v>
      </c>
      <c r="C342" s="16">
        <v>9000.0</v>
      </c>
      <c r="D342" s="6" t="s">
        <v>267</v>
      </c>
      <c r="R342" s="8"/>
    </row>
    <row r="343">
      <c r="A343" s="6" t="s">
        <v>86</v>
      </c>
      <c r="B343" s="19"/>
      <c r="C343" s="19"/>
      <c r="R343" s="8"/>
    </row>
    <row r="344">
      <c r="A344" s="6" t="s">
        <v>77</v>
      </c>
      <c r="B344" s="16">
        <v>6000.0</v>
      </c>
      <c r="C344" s="16">
        <v>3500.0</v>
      </c>
      <c r="D344" s="6" t="s">
        <v>268</v>
      </c>
      <c r="F344" s="26"/>
      <c r="G344" s="26"/>
      <c r="R344" s="8"/>
    </row>
    <row r="345">
      <c r="A345" s="6" t="s">
        <v>269</v>
      </c>
      <c r="B345" s="6">
        <v>10000.0</v>
      </c>
      <c r="C345" s="6">
        <v>8500.0</v>
      </c>
      <c r="D345" s="6" t="s">
        <v>270</v>
      </c>
      <c r="R345" s="8"/>
    </row>
    <row r="346">
      <c r="A346" s="6" t="s">
        <v>6</v>
      </c>
      <c r="B346" s="6">
        <v>11000.0</v>
      </c>
      <c r="C346" s="6">
        <v>1500.0</v>
      </c>
      <c r="D346" s="6" t="s">
        <v>271</v>
      </c>
      <c r="R346" s="8"/>
    </row>
    <row r="347">
      <c r="A347" s="6" t="s">
        <v>272</v>
      </c>
      <c r="B347" s="16" t="s">
        <v>273</v>
      </c>
      <c r="R347" s="8"/>
    </row>
    <row r="348">
      <c r="A348" s="6" t="s">
        <v>274</v>
      </c>
      <c r="B348" s="16" t="s">
        <v>275</v>
      </c>
      <c r="C348" s="19"/>
      <c r="R348" s="8"/>
    </row>
    <row r="349">
      <c r="A349" s="6" t="s">
        <v>10</v>
      </c>
      <c r="B349" s="6" t="s">
        <v>25</v>
      </c>
      <c r="C349" s="19"/>
      <c r="D349" s="6" t="s">
        <v>276</v>
      </c>
      <c r="R349" s="8"/>
    </row>
    <row r="350">
      <c r="A350" s="6" t="s">
        <v>277</v>
      </c>
      <c r="B350" s="16">
        <v>300.0</v>
      </c>
      <c r="C350" s="19"/>
      <c r="R350" s="8"/>
    </row>
    <row r="351">
      <c r="A351" s="83" t="s">
        <v>19</v>
      </c>
      <c r="B351" s="64">
        <f>13500</f>
        <v>13500</v>
      </c>
      <c r="C351" s="84">
        <f>SUM(C335:C350)</f>
        <v>90660</v>
      </c>
      <c r="R351" s="8"/>
    </row>
    <row r="352">
      <c r="A352" s="85" t="s">
        <v>20</v>
      </c>
      <c r="B352" s="65">
        <f>SUM(B335:B351)</f>
        <v>124800</v>
      </c>
      <c r="R352" s="8"/>
    </row>
    <row r="353">
      <c r="A353" s="6" t="s">
        <v>92</v>
      </c>
      <c r="B353" s="31">
        <f>B351+C351-E496</f>
        <v>3610</v>
      </c>
      <c r="R353" s="8"/>
    </row>
    <row r="354">
      <c r="A354" s="6" t="s">
        <v>93</v>
      </c>
      <c r="B354" s="15"/>
      <c r="R354" s="8"/>
    </row>
    <row r="355">
      <c r="A355" s="86" t="s">
        <v>278</v>
      </c>
      <c r="B355" s="31">
        <v>7500.0</v>
      </c>
      <c r="C355" s="34"/>
      <c r="E355" s="6">
        <v>7500.0</v>
      </c>
      <c r="F355" s="6" t="s">
        <v>279</v>
      </c>
      <c r="R355" s="8"/>
    </row>
    <row r="356">
      <c r="A356" s="86" t="s">
        <v>280</v>
      </c>
      <c r="B356" s="36">
        <v>9000.0</v>
      </c>
      <c r="C356" s="34"/>
      <c r="E356" s="36"/>
      <c r="G356" s="6"/>
      <c r="R356" s="8"/>
    </row>
    <row r="357">
      <c r="A357" s="86" t="s">
        <v>281</v>
      </c>
      <c r="B357" s="36">
        <v>250.0</v>
      </c>
      <c r="C357" s="35"/>
      <c r="R357" s="8"/>
    </row>
    <row r="358">
      <c r="A358" s="86" t="s">
        <v>282</v>
      </c>
      <c r="B358" s="31">
        <v>1000.0</v>
      </c>
      <c r="C358" s="35"/>
      <c r="R358" s="8"/>
    </row>
    <row r="359">
      <c r="A359" s="86"/>
      <c r="B359" s="36"/>
      <c r="C359" s="35"/>
      <c r="E359" s="40"/>
      <c r="R359" s="8"/>
    </row>
    <row r="360">
      <c r="A360" s="86"/>
      <c r="B360" s="36"/>
      <c r="C360" s="34"/>
      <c r="E360" s="40"/>
      <c r="R360" s="8"/>
    </row>
    <row r="361">
      <c r="A361" s="86"/>
      <c r="B361" s="36"/>
      <c r="C361" s="34"/>
      <c r="E361" s="40"/>
      <c r="R361" s="8"/>
    </row>
    <row r="362">
      <c r="A362" s="86"/>
      <c r="B362" s="36"/>
      <c r="C362" s="34"/>
      <c r="R362" s="8"/>
    </row>
    <row r="363">
      <c r="A363" s="86"/>
      <c r="B363" s="36"/>
      <c r="C363" s="35"/>
      <c r="R363" s="8"/>
    </row>
    <row r="364">
      <c r="A364" s="86"/>
      <c r="B364" s="36"/>
      <c r="C364" s="34"/>
      <c r="D364" s="35"/>
      <c r="E364" s="36"/>
      <c r="G364" s="6"/>
      <c r="R364" s="8"/>
    </row>
    <row r="365">
      <c r="A365" s="87"/>
      <c r="B365" s="36"/>
      <c r="C365" s="34"/>
      <c r="E365" s="36"/>
      <c r="G365" s="6"/>
      <c r="R365" s="8"/>
    </row>
    <row r="366">
      <c r="A366" s="86"/>
      <c r="B366" s="36"/>
      <c r="C366" s="34"/>
      <c r="E366" s="40"/>
      <c r="R366" s="8"/>
    </row>
    <row r="367">
      <c r="A367" s="86" t="s">
        <v>283</v>
      </c>
      <c r="C367" s="36">
        <f>SUM(B355:B366)</f>
        <v>17750</v>
      </c>
      <c r="E367" s="40"/>
      <c r="R367" s="8"/>
    </row>
    <row r="368">
      <c r="A368" s="6" t="s">
        <v>186</v>
      </c>
      <c r="B368" s="6">
        <v>250.0</v>
      </c>
      <c r="C368" s="99">
        <v>45662.0</v>
      </c>
      <c r="D368" s="99"/>
      <c r="R368" s="8"/>
    </row>
    <row r="369">
      <c r="A369" s="29" t="s">
        <v>63</v>
      </c>
      <c r="B369" s="29">
        <v>90.0</v>
      </c>
      <c r="R369" s="8"/>
    </row>
    <row r="370">
      <c r="A370" s="29" t="s">
        <v>284</v>
      </c>
      <c r="B370" s="29">
        <v>60.0</v>
      </c>
      <c r="R370" s="8"/>
    </row>
    <row r="371">
      <c r="A371" s="6" t="s">
        <v>285</v>
      </c>
      <c r="B371" s="6">
        <v>-1500.0</v>
      </c>
      <c r="R371" s="8"/>
    </row>
    <row r="372">
      <c r="A372" s="29" t="s">
        <v>286</v>
      </c>
      <c r="B372" s="29">
        <v>650.0</v>
      </c>
      <c r="R372" s="8"/>
    </row>
    <row r="373">
      <c r="A373" s="6" t="s">
        <v>287</v>
      </c>
      <c r="B373" s="6">
        <v>350.0</v>
      </c>
      <c r="D373" s="35"/>
      <c r="E373" s="36"/>
      <c r="G373" s="6"/>
      <c r="R373" s="8"/>
    </row>
    <row r="374">
      <c r="A374" s="6" t="s">
        <v>288</v>
      </c>
      <c r="B374" s="6">
        <v>-2000.0</v>
      </c>
      <c r="E374" s="40"/>
      <c r="R374" s="8"/>
    </row>
    <row r="375">
      <c r="A375" s="29" t="s">
        <v>289</v>
      </c>
      <c r="B375" s="104">
        <v>1000.0</v>
      </c>
      <c r="C375" s="35">
        <v>45693.0</v>
      </c>
      <c r="D375" s="35"/>
      <c r="E375" s="36"/>
      <c r="G375" s="6"/>
      <c r="R375" s="8"/>
    </row>
    <row r="376">
      <c r="A376" s="29" t="s">
        <v>290</v>
      </c>
      <c r="B376" s="29">
        <v>300.0</v>
      </c>
      <c r="R376" s="8"/>
    </row>
    <row r="377">
      <c r="A377" s="29" t="s">
        <v>291</v>
      </c>
      <c r="B377" s="104">
        <v>560.0</v>
      </c>
      <c r="C377" s="35"/>
      <c r="E377" s="40"/>
      <c r="H377" s="89" t="s">
        <v>172</v>
      </c>
      <c r="I377" s="90"/>
      <c r="J377" s="91"/>
      <c r="K377" s="91"/>
      <c r="R377" s="8"/>
    </row>
    <row r="378">
      <c r="A378" s="6" t="s">
        <v>186</v>
      </c>
      <c r="B378" s="36">
        <v>180.0</v>
      </c>
      <c r="C378" s="35"/>
      <c r="D378" s="35"/>
      <c r="E378" s="36"/>
      <c r="G378" s="6"/>
      <c r="H378" s="89" t="s">
        <v>193</v>
      </c>
      <c r="I378" s="90"/>
      <c r="J378" s="91"/>
      <c r="K378" s="91"/>
      <c r="R378" s="8"/>
    </row>
    <row r="379">
      <c r="A379" s="6" t="s">
        <v>186</v>
      </c>
      <c r="B379" s="36">
        <v>400.0</v>
      </c>
      <c r="C379" s="105">
        <v>45721.0</v>
      </c>
      <c r="E379" s="40"/>
      <c r="H379" s="89" t="s">
        <v>195</v>
      </c>
      <c r="I379" s="90"/>
      <c r="J379" s="91"/>
      <c r="K379" s="91"/>
      <c r="R379" s="8"/>
    </row>
    <row r="380">
      <c r="A380" s="6" t="s">
        <v>292</v>
      </c>
      <c r="B380" s="36">
        <v>-8500.0</v>
      </c>
      <c r="C380" s="35">
        <v>45752.0</v>
      </c>
      <c r="E380" s="40"/>
      <c r="H380" s="89" t="s">
        <v>197</v>
      </c>
      <c r="I380" s="94"/>
      <c r="J380" s="89"/>
      <c r="K380" s="89"/>
      <c r="R380" s="8"/>
    </row>
    <row r="381">
      <c r="A381" s="6" t="s">
        <v>293</v>
      </c>
      <c r="B381" s="36">
        <v>2400.0</v>
      </c>
      <c r="D381" s="34"/>
      <c r="E381" s="40"/>
      <c r="H381" s="89" t="s">
        <v>199</v>
      </c>
      <c r="I381" s="94"/>
      <c r="J381" s="89"/>
      <c r="K381" s="89"/>
      <c r="R381" s="8"/>
    </row>
    <row r="382">
      <c r="A382" s="6" t="s">
        <v>294</v>
      </c>
      <c r="B382" s="36">
        <v>5900.0</v>
      </c>
      <c r="C382" s="35"/>
      <c r="D382" s="34"/>
      <c r="G382" s="6"/>
      <c r="H382" s="89" t="s">
        <v>10</v>
      </c>
      <c r="I382" s="94"/>
      <c r="J382" s="89"/>
      <c r="K382" s="89"/>
      <c r="R382" s="8"/>
    </row>
    <row r="383">
      <c r="A383" s="6" t="s">
        <v>288</v>
      </c>
      <c r="B383" s="6">
        <v>-2500.0</v>
      </c>
      <c r="C383" s="35"/>
      <c r="E383" s="40"/>
      <c r="F383" s="6" t="s">
        <v>295</v>
      </c>
      <c r="H383" s="89" t="s">
        <v>202</v>
      </c>
      <c r="I383" s="94"/>
      <c r="J383" s="89"/>
      <c r="K383" s="89"/>
      <c r="R383" s="8"/>
    </row>
    <row r="384">
      <c r="A384" s="6" t="s">
        <v>296</v>
      </c>
      <c r="B384" s="36">
        <v>2120.0</v>
      </c>
      <c r="E384" s="40"/>
      <c r="H384" s="89" t="s">
        <v>203</v>
      </c>
      <c r="I384" s="94"/>
      <c r="J384" s="89"/>
      <c r="K384" s="89"/>
      <c r="R384" s="8"/>
    </row>
    <row r="385">
      <c r="A385" s="6" t="s">
        <v>297</v>
      </c>
      <c r="B385" s="36">
        <v>760.0</v>
      </c>
      <c r="C385" s="35"/>
      <c r="D385" s="52"/>
      <c r="E385" s="36"/>
      <c r="G385" s="6"/>
      <c r="R385" s="8"/>
    </row>
    <row r="386">
      <c r="A386" s="6" t="s">
        <v>186</v>
      </c>
      <c r="B386" s="6">
        <v>170.0</v>
      </c>
      <c r="E386" s="40"/>
      <c r="H386" s="95" t="s">
        <v>211</v>
      </c>
      <c r="I386" s="106"/>
      <c r="R386" s="8"/>
    </row>
    <row r="387">
      <c r="A387" s="6" t="s">
        <v>298</v>
      </c>
      <c r="B387" s="36">
        <v>140.0</v>
      </c>
      <c r="C387" s="105">
        <v>45782.0</v>
      </c>
      <c r="E387" s="36">
        <v>500.0</v>
      </c>
      <c r="F387" s="6" t="s">
        <v>186</v>
      </c>
      <c r="H387" s="95" t="s">
        <v>212</v>
      </c>
      <c r="I387" s="106"/>
      <c r="R387" s="8"/>
    </row>
    <row r="388">
      <c r="A388" s="6" t="s">
        <v>186</v>
      </c>
      <c r="B388" s="36">
        <v>160.0</v>
      </c>
      <c r="C388" s="34"/>
      <c r="E388" s="40"/>
      <c r="H388" s="95" t="s">
        <v>120</v>
      </c>
      <c r="I388" s="106"/>
      <c r="R388" s="8"/>
    </row>
    <row r="389">
      <c r="A389" s="6" t="s">
        <v>299</v>
      </c>
      <c r="B389" s="6">
        <v>500.0</v>
      </c>
      <c r="C389" s="35">
        <v>45813.0</v>
      </c>
      <c r="E389" s="40"/>
      <c r="R389" s="8"/>
    </row>
    <row r="390">
      <c r="A390" s="6" t="s">
        <v>186</v>
      </c>
      <c r="B390" s="6">
        <v>290.0</v>
      </c>
      <c r="D390" s="35"/>
      <c r="E390" s="36"/>
      <c r="G390" s="6"/>
      <c r="R390" s="8"/>
    </row>
    <row r="391">
      <c r="A391" s="6" t="s">
        <v>300</v>
      </c>
      <c r="B391" s="6">
        <v>110.0</v>
      </c>
      <c r="E391" s="36"/>
      <c r="G391" s="6"/>
      <c r="R391" s="8"/>
    </row>
    <row r="392">
      <c r="A392" s="6" t="s">
        <v>301</v>
      </c>
      <c r="B392" s="6">
        <v>130.0</v>
      </c>
      <c r="C392" s="34"/>
      <c r="E392" s="36"/>
      <c r="G392" s="6"/>
      <c r="R392" s="8"/>
    </row>
    <row r="393">
      <c r="A393" s="6" t="s">
        <v>288</v>
      </c>
      <c r="B393" s="6">
        <v>-1500.0</v>
      </c>
      <c r="C393" s="34"/>
      <c r="E393" s="36"/>
      <c r="G393" s="6"/>
      <c r="R393" s="8"/>
    </row>
    <row r="394">
      <c r="A394" s="6" t="s">
        <v>302</v>
      </c>
      <c r="B394" s="6">
        <v>1100.0</v>
      </c>
      <c r="E394" s="40"/>
      <c r="R394" s="8"/>
    </row>
    <row r="395">
      <c r="A395" s="6" t="s">
        <v>303</v>
      </c>
      <c r="B395" s="36">
        <v>3000.0</v>
      </c>
      <c r="E395" s="40"/>
      <c r="R395" s="8"/>
    </row>
    <row r="396">
      <c r="A396" s="6" t="s">
        <v>304</v>
      </c>
      <c r="B396" s="6">
        <v>2000.0</v>
      </c>
      <c r="C396" s="34"/>
      <c r="E396" s="40"/>
      <c r="R396" s="8"/>
    </row>
    <row r="397">
      <c r="B397" s="6">
        <v>110.0</v>
      </c>
      <c r="C397" s="6" t="s">
        <v>253</v>
      </c>
      <c r="D397" s="34"/>
      <c r="E397" s="36">
        <v>5000.0</v>
      </c>
      <c r="F397" s="6" t="s">
        <v>305</v>
      </c>
      <c r="R397" s="8"/>
    </row>
    <row r="398">
      <c r="A398" s="6" t="s">
        <v>306</v>
      </c>
      <c r="B398" s="6">
        <v>500.0</v>
      </c>
      <c r="C398" s="105">
        <v>45843.0</v>
      </c>
      <c r="D398" s="34"/>
      <c r="E398" s="6">
        <v>500.0</v>
      </c>
      <c r="F398" s="6" t="s">
        <v>306</v>
      </c>
      <c r="G398" s="6"/>
      <c r="R398" s="8"/>
    </row>
    <row r="399">
      <c r="A399" s="6" t="s">
        <v>307</v>
      </c>
      <c r="B399" s="6">
        <v>20.0</v>
      </c>
      <c r="R399" s="8"/>
    </row>
    <row r="400">
      <c r="A400" s="6" t="s">
        <v>308</v>
      </c>
      <c r="B400" s="6">
        <v>1000.0</v>
      </c>
      <c r="G400" s="6"/>
      <c r="R400" s="8"/>
    </row>
    <row r="401">
      <c r="A401" s="6" t="s">
        <v>288</v>
      </c>
      <c r="B401" s="6">
        <v>-3000.0</v>
      </c>
      <c r="E401" s="36"/>
      <c r="G401" s="6"/>
      <c r="R401" s="8"/>
    </row>
    <row r="402">
      <c r="A402" s="6" t="s">
        <v>309</v>
      </c>
      <c r="B402" s="6">
        <v>3000.0</v>
      </c>
      <c r="C402" s="34"/>
      <c r="H402" s="6" t="s">
        <v>222</v>
      </c>
      <c r="R402" s="8"/>
    </row>
    <row r="403">
      <c r="A403" s="6" t="s">
        <v>310</v>
      </c>
      <c r="B403" s="6">
        <v>300.0</v>
      </c>
      <c r="H403" s="6" t="s">
        <v>224</v>
      </c>
      <c r="R403" s="8"/>
    </row>
    <row r="404">
      <c r="A404" s="6" t="s">
        <v>288</v>
      </c>
      <c r="B404" s="6">
        <v>-50.0</v>
      </c>
      <c r="C404" s="34"/>
      <c r="D404" s="34"/>
      <c r="E404" s="6">
        <v>1000.0</v>
      </c>
      <c r="F404" s="6" t="s">
        <v>308</v>
      </c>
      <c r="G404" s="6"/>
      <c r="H404" s="6" t="s">
        <v>216</v>
      </c>
      <c r="R404" s="8"/>
    </row>
    <row r="405">
      <c r="A405" s="6" t="s">
        <v>311</v>
      </c>
      <c r="B405" s="6">
        <v>250.0</v>
      </c>
      <c r="G405" s="6"/>
      <c r="R405" s="8"/>
    </row>
    <row r="406">
      <c r="A406" s="6" t="s">
        <v>186</v>
      </c>
      <c r="B406" s="6">
        <v>270.0</v>
      </c>
      <c r="R406" s="8"/>
    </row>
    <row r="407">
      <c r="A407" s="6" t="s">
        <v>312</v>
      </c>
      <c r="B407" s="6">
        <v>1000.0</v>
      </c>
      <c r="C407" s="35">
        <v>45874.0</v>
      </c>
      <c r="E407" s="6">
        <v>1000.0</v>
      </c>
      <c r="F407" s="6" t="s">
        <v>312</v>
      </c>
      <c r="G407" s="6"/>
      <c r="R407" s="8"/>
    </row>
    <row r="408">
      <c r="A408" s="6" t="s">
        <v>306</v>
      </c>
      <c r="B408" s="6">
        <v>1000.0</v>
      </c>
      <c r="E408" s="6">
        <v>1000.0</v>
      </c>
      <c r="F408" s="6" t="s">
        <v>306</v>
      </c>
      <c r="R408" s="8"/>
    </row>
    <row r="409">
      <c r="A409" s="6" t="s">
        <v>186</v>
      </c>
      <c r="B409" s="6">
        <v>240.0</v>
      </c>
      <c r="D409" s="34"/>
      <c r="G409" s="6"/>
      <c r="R409" s="8"/>
    </row>
    <row r="410">
      <c r="A410" s="6" t="s">
        <v>177</v>
      </c>
      <c r="B410" s="6">
        <v>70.0</v>
      </c>
      <c r="C410" s="35">
        <v>45905.0</v>
      </c>
      <c r="R410" s="8"/>
    </row>
    <row r="411">
      <c r="A411" s="6" t="s">
        <v>313</v>
      </c>
      <c r="B411" s="6">
        <v>150.0</v>
      </c>
      <c r="G411" s="6"/>
      <c r="R411" s="8"/>
    </row>
    <row r="412">
      <c r="A412" s="6" t="s">
        <v>314</v>
      </c>
      <c r="B412" s="6">
        <v>70.0</v>
      </c>
      <c r="R412" s="8"/>
    </row>
    <row r="413">
      <c r="A413" s="6" t="s">
        <v>288</v>
      </c>
      <c r="B413" s="6">
        <v>-1000.0</v>
      </c>
      <c r="R413" s="8"/>
    </row>
    <row r="414">
      <c r="A414" s="6" t="s">
        <v>315</v>
      </c>
      <c r="B414" s="6">
        <v>950.0</v>
      </c>
      <c r="R414" s="8"/>
    </row>
    <row r="415">
      <c r="A415" s="6" t="s">
        <v>316</v>
      </c>
      <c r="B415" s="6">
        <v>50.0</v>
      </c>
      <c r="D415" s="34"/>
      <c r="R415" s="8"/>
    </row>
    <row r="416">
      <c r="A416" s="6" t="s">
        <v>116</v>
      </c>
      <c r="B416" s="6">
        <v>200.0</v>
      </c>
      <c r="E416" s="6">
        <v>250.0</v>
      </c>
      <c r="F416" s="6" t="s">
        <v>116</v>
      </c>
      <c r="R416" s="8"/>
    </row>
    <row r="417">
      <c r="A417" s="6" t="s">
        <v>186</v>
      </c>
      <c r="B417" s="6" t="s">
        <v>253</v>
      </c>
      <c r="R417" s="8"/>
    </row>
    <row r="418">
      <c r="A418" s="6" t="s">
        <v>72</v>
      </c>
      <c r="B418" s="6">
        <v>45.0</v>
      </c>
      <c r="C418" s="105">
        <v>45935.0</v>
      </c>
      <c r="R418" s="8"/>
    </row>
    <row r="419">
      <c r="A419" s="6" t="s">
        <v>317</v>
      </c>
      <c r="B419" s="6">
        <v>880.0</v>
      </c>
      <c r="R419" s="8"/>
    </row>
    <row r="420">
      <c r="A420" s="6" t="s">
        <v>186</v>
      </c>
      <c r="B420" s="6">
        <v>140.0</v>
      </c>
      <c r="R420" s="8"/>
    </row>
    <row r="421">
      <c r="B421" s="6" t="s">
        <v>253</v>
      </c>
      <c r="D421" s="34"/>
      <c r="E421" s="36"/>
      <c r="R421" s="8"/>
    </row>
    <row r="422">
      <c r="A422" s="6" t="s">
        <v>288</v>
      </c>
      <c r="B422" s="6">
        <v>-5000.0</v>
      </c>
      <c r="C422" s="35">
        <v>45966.0</v>
      </c>
      <c r="R422" s="8"/>
    </row>
    <row r="423">
      <c r="A423" s="6" t="s">
        <v>318</v>
      </c>
      <c r="B423" s="6">
        <v>45000.0</v>
      </c>
      <c r="E423" s="6">
        <v>41500.0</v>
      </c>
      <c r="F423" s="6" t="s">
        <v>318</v>
      </c>
      <c r="R423" s="8"/>
    </row>
    <row r="424">
      <c r="A424" s="6" t="s">
        <v>319</v>
      </c>
      <c r="B424" s="6">
        <v>450.0</v>
      </c>
      <c r="R424" s="8"/>
    </row>
    <row r="425">
      <c r="A425" s="6" t="s">
        <v>72</v>
      </c>
      <c r="B425" s="6">
        <v>60.0</v>
      </c>
      <c r="R425" s="8"/>
    </row>
    <row r="426">
      <c r="A426" s="6" t="s">
        <v>186</v>
      </c>
      <c r="B426" s="6" t="s">
        <v>253</v>
      </c>
      <c r="R426" s="8"/>
    </row>
    <row r="427">
      <c r="A427" s="6" t="s">
        <v>320</v>
      </c>
      <c r="B427" s="6">
        <v>70.0</v>
      </c>
      <c r="C427" s="35">
        <v>45996.0</v>
      </c>
      <c r="R427" s="8"/>
    </row>
    <row r="428">
      <c r="A428" s="6" t="s">
        <v>186</v>
      </c>
      <c r="B428" s="6">
        <v>45.0</v>
      </c>
      <c r="R428" s="8"/>
    </row>
    <row r="429">
      <c r="A429" s="6" t="s">
        <v>321</v>
      </c>
      <c r="B429" s="6">
        <v>100.0</v>
      </c>
      <c r="E429" s="6">
        <v>100.0</v>
      </c>
      <c r="F429" s="6" t="s">
        <v>321</v>
      </c>
      <c r="R429" s="8"/>
    </row>
    <row r="430">
      <c r="A430" s="6" t="s">
        <v>322</v>
      </c>
      <c r="B430" s="6">
        <v>160.0</v>
      </c>
      <c r="E430" s="6">
        <v>160.0</v>
      </c>
      <c r="F430" s="6" t="s">
        <v>322</v>
      </c>
      <c r="R430" s="8"/>
    </row>
    <row r="431">
      <c r="A431" s="6" t="s">
        <v>253</v>
      </c>
      <c r="B431" s="6">
        <v>2095.0</v>
      </c>
      <c r="G431" s="60"/>
      <c r="R431" s="8"/>
    </row>
    <row r="432">
      <c r="A432" s="6" t="s">
        <v>10</v>
      </c>
      <c r="B432" s="6">
        <v>100.0</v>
      </c>
      <c r="C432" s="34" t="s">
        <v>323</v>
      </c>
      <c r="R432" s="8"/>
    </row>
    <row r="433">
      <c r="A433" s="6" t="s">
        <v>186</v>
      </c>
      <c r="B433" s="6">
        <v>330.0</v>
      </c>
      <c r="D433" s="34"/>
      <c r="R433" s="8"/>
    </row>
    <row r="434">
      <c r="A434" s="6" t="s">
        <v>116</v>
      </c>
      <c r="B434" s="6">
        <v>50.0</v>
      </c>
      <c r="E434" s="6">
        <v>50.0</v>
      </c>
      <c r="F434" s="6" t="s">
        <v>116</v>
      </c>
      <c r="R434" s="8"/>
    </row>
    <row r="435">
      <c r="A435" s="6" t="s">
        <v>324</v>
      </c>
      <c r="B435" s="6"/>
      <c r="C435" s="34" t="s">
        <v>325</v>
      </c>
      <c r="R435" s="8"/>
    </row>
    <row r="436">
      <c r="A436" s="6" t="s">
        <v>306</v>
      </c>
      <c r="B436" s="6">
        <v>500.0</v>
      </c>
      <c r="C436" s="34" t="s">
        <v>326</v>
      </c>
      <c r="E436" s="6">
        <v>500.0</v>
      </c>
      <c r="F436" s="6" t="s">
        <v>306</v>
      </c>
      <c r="R436" s="8"/>
    </row>
    <row r="437">
      <c r="A437" s="6" t="s">
        <v>327</v>
      </c>
      <c r="B437" s="6" t="s">
        <v>328</v>
      </c>
      <c r="E437" s="6">
        <v>9000.0</v>
      </c>
      <c r="F437" s="6" t="s">
        <v>327</v>
      </c>
      <c r="R437" s="8"/>
    </row>
    <row r="438">
      <c r="A438" s="6" t="s">
        <v>281</v>
      </c>
      <c r="B438" s="6" t="s">
        <v>329</v>
      </c>
      <c r="E438" s="6">
        <v>1000.0</v>
      </c>
      <c r="F438" s="6" t="s">
        <v>330</v>
      </c>
      <c r="R438" s="8"/>
    </row>
    <row r="439">
      <c r="A439" s="6" t="s">
        <v>186</v>
      </c>
      <c r="B439" s="6">
        <v>280.0</v>
      </c>
      <c r="R439" s="8"/>
    </row>
    <row r="440">
      <c r="A440" s="6" t="s">
        <v>331</v>
      </c>
      <c r="B440" s="6">
        <v>140.0</v>
      </c>
      <c r="R440" s="8"/>
    </row>
    <row r="441">
      <c r="A441" s="6" t="s">
        <v>332</v>
      </c>
      <c r="B441" s="6">
        <v>50.0</v>
      </c>
      <c r="R441" s="8"/>
    </row>
    <row r="442">
      <c r="A442" s="6" t="s">
        <v>186</v>
      </c>
      <c r="B442" s="6">
        <v>125.0</v>
      </c>
      <c r="C442" s="34" t="s">
        <v>333</v>
      </c>
      <c r="R442" s="8"/>
    </row>
    <row r="443">
      <c r="A443" s="6" t="s">
        <v>306</v>
      </c>
      <c r="B443" s="6">
        <v>500.0</v>
      </c>
      <c r="E443" s="6">
        <v>500.0</v>
      </c>
      <c r="F443" s="6" t="s">
        <v>334</v>
      </c>
      <c r="R443" s="8"/>
    </row>
    <row r="444">
      <c r="A444" s="6" t="s">
        <v>186</v>
      </c>
      <c r="B444" s="6">
        <v>420.0</v>
      </c>
      <c r="C444" s="34" t="s">
        <v>335</v>
      </c>
      <c r="E444" s="6">
        <v>500.0</v>
      </c>
      <c r="F444" s="6" t="s">
        <v>186</v>
      </c>
      <c r="R444" s="8"/>
    </row>
    <row r="445">
      <c r="B445" s="6">
        <v>505.0</v>
      </c>
      <c r="C445" s="34" t="s">
        <v>336</v>
      </c>
      <c r="R445" s="8"/>
    </row>
    <row r="446">
      <c r="A446" s="6" t="s">
        <v>288</v>
      </c>
      <c r="B446" s="6">
        <v>-300.0</v>
      </c>
      <c r="C446" s="34" t="s">
        <v>337</v>
      </c>
      <c r="E446" s="6">
        <v>500.0</v>
      </c>
      <c r="F446" s="6" t="s">
        <v>186</v>
      </c>
      <c r="R446" s="8"/>
    </row>
    <row r="447">
      <c r="A447" s="6" t="s">
        <v>338</v>
      </c>
      <c r="B447" s="6">
        <v>1700.0</v>
      </c>
      <c r="R447" s="8"/>
    </row>
    <row r="448">
      <c r="A448" s="6" t="s">
        <v>186</v>
      </c>
      <c r="B448" s="6">
        <v>205.0</v>
      </c>
      <c r="R448" s="8"/>
    </row>
    <row r="449">
      <c r="A449" s="6" t="s">
        <v>339</v>
      </c>
      <c r="B449" s="6">
        <v>15.0</v>
      </c>
      <c r="R449" s="8"/>
    </row>
    <row r="450">
      <c r="A450" s="6" t="s">
        <v>340</v>
      </c>
      <c r="B450" s="6">
        <v>40.0</v>
      </c>
      <c r="C450" s="34" t="s">
        <v>341</v>
      </c>
      <c r="R450" s="8"/>
    </row>
    <row r="451">
      <c r="A451" s="6" t="s">
        <v>342</v>
      </c>
      <c r="B451" s="6">
        <v>2180.0</v>
      </c>
      <c r="E451" s="6">
        <v>2000.0</v>
      </c>
      <c r="F451" s="6" t="s">
        <v>342</v>
      </c>
      <c r="R451" s="8"/>
    </row>
    <row r="452">
      <c r="A452" s="6" t="s">
        <v>116</v>
      </c>
      <c r="B452" s="6">
        <v>50.0</v>
      </c>
      <c r="E452" s="6">
        <v>50.0</v>
      </c>
      <c r="F452" s="6" t="s">
        <v>116</v>
      </c>
      <c r="R452" s="8"/>
    </row>
    <row r="453">
      <c r="B453" s="6">
        <v>280.0</v>
      </c>
      <c r="R453" s="8"/>
    </row>
    <row r="454">
      <c r="A454" s="6" t="s">
        <v>343</v>
      </c>
      <c r="B454" s="6" t="s">
        <v>98</v>
      </c>
      <c r="C454" s="34" t="s">
        <v>344</v>
      </c>
      <c r="E454" s="6">
        <v>1000.0</v>
      </c>
      <c r="F454" s="6" t="s">
        <v>282</v>
      </c>
      <c r="R454" s="8"/>
    </row>
    <row r="455">
      <c r="E455" s="6">
        <v>500.0</v>
      </c>
      <c r="F455" s="6" t="s">
        <v>186</v>
      </c>
      <c r="R455" s="8"/>
    </row>
    <row r="456">
      <c r="R456" s="8"/>
    </row>
    <row r="457">
      <c r="C457" s="6" t="s">
        <v>345</v>
      </c>
      <c r="E457" s="6">
        <v>500.0</v>
      </c>
      <c r="F457" s="6" t="s">
        <v>186</v>
      </c>
      <c r="R457" s="8"/>
    </row>
    <row r="458">
      <c r="R458" s="8"/>
    </row>
    <row r="459">
      <c r="R459" s="8"/>
    </row>
    <row r="460">
      <c r="A460" s="6" t="s">
        <v>331</v>
      </c>
      <c r="B460" s="6">
        <v>270.0</v>
      </c>
      <c r="C460" s="34" t="s">
        <v>346</v>
      </c>
      <c r="E460" s="6">
        <v>1000.0</v>
      </c>
      <c r="F460" s="6" t="s">
        <v>347</v>
      </c>
      <c r="R460" s="8"/>
    </row>
    <row r="461">
      <c r="A461" s="6" t="s">
        <v>348</v>
      </c>
      <c r="B461" s="6">
        <v>140.0</v>
      </c>
      <c r="C461" s="52"/>
      <c r="R461" s="8"/>
    </row>
    <row r="462">
      <c r="C462" s="52"/>
      <c r="R462" s="8"/>
    </row>
    <row r="463">
      <c r="A463" s="6" t="s">
        <v>334</v>
      </c>
      <c r="B463" s="6">
        <v>500.0</v>
      </c>
      <c r="C463" s="34" t="s">
        <v>349</v>
      </c>
      <c r="E463" s="6">
        <v>500.0</v>
      </c>
      <c r="F463" s="6" t="s">
        <v>334</v>
      </c>
      <c r="R463" s="8"/>
    </row>
    <row r="464">
      <c r="A464" s="6" t="s">
        <v>350</v>
      </c>
      <c r="B464" s="6">
        <v>400.0</v>
      </c>
      <c r="C464" s="52"/>
      <c r="E464" s="6">
        <v>400.0</v>
      </c>
      <c r="F464" s="6" t="s">
        <v>350</v>
      </c>
      <c r="R464" s="8"/>
    </row>
    <row r="465">
      <c r="A465" s="6" t="s">
        <v>351</v>
      </c>
      <c r="B465" s="6">
        <v>300.0</v>
      </c>
      <c r="C465" s="52"/>
      <c r="E465" s="6">
        <v>500.0</v>
      </c>
      <c r="F465" s="6" t="s">
        <v>186</v>
      </c>
      <c r="R465" s="8"/>
    </row>
    <row r="466">
      <c r="C466" s="52"/>
      <c r="R466" s="8"/>
    </row>
    <row r="467">
      <c r="A467" s="6" t="s">
        <v>334</v>
      </c>
      <c r="B467" s="6">
        <v>500.0</v>
      </c>
      <c r="C467" s="34" t="s">
        <v>352</v>
      </c>
      <c r="E467" s="6">
        <v>500.0</v>
      </c>
      <c r="F467" s="6" t="s">
        <v>334</v>
      </c>
      <c r="R467" s="8"/>
    </row>
    <row r="468">
      <c r="A468" s="6" t="s">
        <v>316</v>
      </c>
      <c r="B468" s="6">
        <v>320.0</v>
      </c>
      <c r="C468" s="52"/>
      <c r="E468" s="6">
        <v>320.0</v>
      </c>
      <c r="F468" s="6" t="s">
        <v>316</v>
      </c>
      <c r="R468" s="8"/>
    </row>
    <row r="469">
      <c r="A469" s="6" t="s">
        <v>186</v>
      </c>
      <c r="B469" s="6">
        <v>160.0</v>
      </c>
      <c r="R469" s="8"/>
    </row>
    <row r="470">
      <c r="C470" s="52"/>
      <c r="R470" s="8"/>
    </row>
    <row r="471">
      <c r="C471" s="52"/>
      <c r="R471" s="8"/>
    </row>
    <row r="472">
      <c r="A472" s="6" t="s">
        <v>186</v>
      </c>
      <c r="B472" s="6">
        <v>220.0</v>
      </c>
      <c r="C472" s="34" t="s">
        <v>353</v>
      </c>
      <c r="R472" s="8"/>
    </row>
    <row r="473">
      <c r="A473" s="6" t="s">
        <v>354</v>
      </c>
      <c r="B473" s="6">
        <f>15980-6680</f>
        <v>9300</v>
      </c>
      <c r="C473" s="52"/>
      <c r="E473" s="6">
        <v>5000.0</v>
      </c>
      <c r="F473" s="6" t="s">
        <v>354</v>
      </c>
      <c r="R473" s="8"/>
    </row>
    <row r="474">
      <c r="A474" s="6" t="s">
        <v>355</v>
      </c>
      <c r="B474" s="6">
        <v>200.0</v>
      </c>
      <c r="E474" s="6">
        <v>1000.0</v>
      </c>
      <c r="F474" s="6" t="s">
        <v>347</v>
      </c>
      <c r="R474" s="8"/>
    </row>
    <row r="475">
      <c r="A475" s="6" t="s">
        <v>356</v>
      </c>
      <c r="B475" s="6">
        <v>130.0</v>
      </c>
      <c r="R475" s="8"/>
    </row>
    <row r="476">
      <c r="A476" s="6" t="s">
        <v>357</v>
      </c>
      <c r="B476" s="6">
        <v>320.0</v>
      </c>
      <c r="R476" s="8"/>
    </row>
    <row r="477">
      <c r="A477" s="6" t="s">
        <v>358</v>
      </c>
      <c r="B477" s="6">
        <v>50.0</v>
      </c>
      <c r="C477" s="34" t="s">
        <v>359</v>
      </c>
      <c r="R477" s="8"/>
    </row>
    <row r="478">
      <c r="A478" s="6" t="s">
        <v>186</v>
      </c>
      <c r="B478" s="6">
        <v>195.0</v>
      </c>
      <c r="C478" s="52"/>
      <c r="R478" s="8"/>
    </row>
    <row r="479">
      <c r="A479" s="6" t="s">
        <v>360</v>
      </c>
      <c r="B479" s="6">
        <v>1800.0</v>
      </c>
      <c r="C479" s="52"/>
      <c r="E479" s="6">
        <v>3000.0</v>
      </c>
      <c r="F479" s="6" t="s">
        <v>360</v>
      </c>
      <c r="R479" s="8"/>
    </row>
    <row r="480">
      <c r="A480" s="6" t="s">
        <v>334</v>
      </c>
      <c r="B480" s="6">
        <v>500.0</v>
      </c>
      <c r="C480" s="34" t="s">
        <v>361</v>
      </c>
      <c r="E480" s="6">
        <v>500.0</v>
      </c>
      <c r="F480" s="6" t="s">
        <v>334</v>
      </c>
      <c r="R480" s="8"/>
    </row>
    <row r="481">
      <c r="A481" s="6" t="s">
        <v>362</v>
      </c>
      <c r="B481" s="6">
        <v>1000.0</v>
      </c>
      <c r="E481" s="6">
        <v>1000.0</v>
      </c>
      <c r="F481" s="6" t="s">
        <v>363</v>
      </c>
      <c r="R481" s="8"/>
    </row>
    <row r="482">
      <c r="R482" s="8"/>
    </row>
    <row r="483">
      <c r="A483" s="6" t="s">
        <v>364</v>
      </c>
      <c r="B483" s="6">
        <v>1000.0</v>
      </c>
      <c r="C483" s="34" t="s">
        <v>365</v>
      </c>
      <c r="E483" s="6">
        <v>1000.0</v>
      </c>
      <c r="F483" s="6" t="s">
        <v>350</v>
      </c>
      <c r="R483" s="8"/>
    </row>
    <row r="484">
      <c r="A484" s="6" t="s">
        <v>334</v>
      </c>
      <c r="B484" s="6">
        <v>1000.0</v>
      </c>
      <c r="C484" s="52"/>
      <c r="E484" s="6">
        <v>1000.0</v>
      </c>
      <c r="F484" s="6" t="s">
        <v>334</v>
      </c>
      <c r="R484" s="8"/>
    </row>
    <row r="485">
      <c r="A485" s="6" t="s">
        <v>116</v>
      </c>
      <c r="B485" s="6">
        <v>220.0</v>
      </c>
      <c r="C485" s="52"/>
      <c r="E485" s="6">
        <v>220.0</v>
      </c>
      <c r="F485" s="6" t="s">
        <v>116</v>
      </c>
      <c r="R485" s="8"/>
    </row>
    <row r="486">
      <c r="A486" s="6" t="s">
        <v>366</v>
      </c>
      <c r="B486" s="6">
        <v>10000.0</v>
      </c>
      <c r="C486" s="34" t="s">
        <v>367</v>
      </c>
      <c r="E486" s="6">
        <v>10000.0</v>
      </c>
      <c r="F486" s="6" t="s">
        <v>366</v>
      </c>
      <c r="R486" s="8"/>
    </row>
    <row r="487">
      <c r="A487" s="6" t="s">
        <v>368</v>
      </c>
      <c r="B487" s="6">
        <v>600.0</v>
      </c>
      <c r="C487" s="34" t="s">
        <v>369</v>
      </c>
      <c r="R487" s="8"/>
    </row>
    <row r="488">
      <c r="A488" s="6" t="s">
        <v>370</v>
      </c>
      <c r="B488" s="6">
        <v>380.0</v>
      </c>
      <c r="R488" s="8"/>
    </row>
    <row r="489">
      <c r="A489" s="6" t="s">
        <v>371</v>
      </c>
      <c r="B489" s="6">
        <v>400.0</v>
      </c>
      <c r="R489" s="8"/>
    </row>
    <row r="490">
      <c r="A490" s="6" t="s">
        <v>372</v>
      </c>
      <c r="B490" s="6">
        <v>480.0</v>
      </c>
      <c r="R490" s="8"/>
    </row>
    <row r="491">
      <c r="A491" s="6" t="s">
        <v>47</v>
      </c>
      <c r="B491" s="6">
        <v>6500.0</v>
      </c>
      <c r="C491" s="99">
        <v>45663.0</v>
      </c>
      <c r="R491" s="8"/>
    </row>
    <row r="492">
      <c r="A492" s="6" t="s">
        <v>373</v>
      </c>
      <c r="B492" s="6">
        <v>1000.0</v>
      </c>
      <c r="R492" s="8"/>
    </row>
    <row r="493">
      <c r="B493" s="6">
        <v>40.0</v>
      </c>
      <c r="R493" s="8"/>
    </row>
    <row r="494">
      <c r="R494" s="8"/>
    </row>
    <row r="495">
      <c r="B495" s="6">
        <v>1730.0</v>
      </c>
      <c r="R495" s="8"/>
    </row>
    <row r="496">
      <c r="A496" s="100" t="s">
        <v>118</v>
      </c>
      <c r="C496" s="74">
        <f>SUM(B354:B495)</f>
        <v>120370</v>
      </c>
      <c r="D496" s="58" t="s">
        <v>258</v>
      </c>
      <c r="E496" s="107">
        <f>SUM(E354:E495)</f>
        <v>100550</v>
      </c>
      <c r="F496" s="101">
        <f>C496-E496</f>
        <v>19820</v>
      </c>
      <c r="R496" s="8"/>
    </row>
    <row r="497">
      <c r="A497" s="102"/>
      <c r="B497" s="76">
        <f>SUM(B353:B496)</f>
        <v>123980</v>
      </c>
      <c r="R497" s="8"/>
    </row>
    <row r="498">
      <c r="A498" s="12" t="s">
        <v>119</v>
      </c>
      <c r="B498" s="65">
        <f>B352-B497</f>
        <v>820</v>
      </c>
      <c r="C498" s="6">
        <v>2320.0</v>
      </c>
      <c r="R498" s="8"/>
    </row>
    <row r="499">
      <c r="B499" s="63"/>
      <c r="C499" s="19">
        <f>B498-C498</f>
        <v>-1500</v>
      </c>
      <c r="R499" s="8"/>
    </row>
    <row r="500">
      <c r="A500" s="6" t="s">
        <v>120</v>
      </c>
      <c r="B500" s="103">
        <f>B353</f>
        <v>3610</v>
      </c>
      <c r="R500" s="8"/>
    </row>
    <row r="501">
      <c r="R501" s="8"/>
    </row>
    <row r="502">
      <c r="A502" s="108" t="s">
        <v>0</v>
      </c>
      <c r="B502" s="109" t="s">
        <v>374</v>
      </c>
      <c r="C502" s="110"/>
      <c r="D502" s="110"/>
      <c r="E502" s="110"/>
      <c r="F502" s="111"/>
      <c r="G502" s="108" t="s">
        <v>0</v>
      </c>
      <c r="H502" s="109" t="s">
        <v>374</v>
      </c>
      <c r="I502" s="110"/>
      <c r="J502" s="110"/>
      <c r="K502" s="110"/>
      <c r="L502" s="111"/>
      <c r="R502" s="8"/>
    </row>
    <row r="503">
      <c r="A503" s="112" t="s">
        <v>2</v>
      </c>
      <c r="B503" s="11" t="s">
        <v>375</v>
      </c>
      <c r="C503" s="12" t="s">
        <v>92</v>
      </c>
      <c r="D503" s="6" t="s">
        <v>54</v>
      </c>
      <c r="F503" s="113"/>
      <c r="G503" s="112" t="s">
        <v>2</v>
      </c>
      <c r="H503" s="11" t="s">
        <v>375</v>
      </c>
      <c r="I503" s="12" t="s">
        <v>92</v>
      </c>
      <c r="J503" s="6" t="s">
        <v>54</v>
      </c>
      <c r="L503" s="113"/>
      <c r="R503" s="8"/>
    </row>
    <row r="504">
      <c r="A504" s="112" t="s">
        <v>6</v>
      </c>
      <c r="B504" s="15">
        <v>11000.0</v>
      </c>
      <c r="C504" s="16">
        <v>1500.0</v>
      </c>
      <c r="D504" s="34" t="s">
        <v>376</v>
      </c>
      <c r="F504" s="113"/>
      <c r="G504" s="112" t="s">
        <v>377</v>
      </c>
      <c r="H504" s="15">
        <v>10000.0</v>
      </c>
      <c r="I504" s="16"/>
      <c r="J504" s="34" t="s">
        <v>378</v>
      </c>
      <c r="L504" s="113"/>
      <c r="R504" s="8"/>
    </row>
    <row r="505">
      <c r="A505" s="112" t="s">
        <v>4</v>
      </c>
      <c r="B505" s="15">
        <v>10000.0</v>
      </c>
      <c r="C505" s="16">
        <v>8000.0</v>
      </c>
      <c r="D505" s="99">
        <v>45663.0</v>
      </c>
      <c r="F505" s="113"/>
      <c r="G505" s="6" t="s">
        <v>379</v>
      </c>
      <c r="H505" s="6">
        <v>1000.0</v>
      </c>
      <c r="I505" s="6">
        <v>500.0</v>
      </c>
      <c r="J505" s="114">
        <v>45810.0</v>
      </c>
      <c r="L505" s="113"/>
      <c r="R505" s="8"/>
    </row>
    <row r="506">
      <c r="A506" s="112" t="s">
        <v>166</v>
      </c>
      <c r="B506" s="15">
        <v>12000.0</v>
      </c>
      <c r="C506" s="16">
        <v>2000.0</v>
      </c>
      <c r="D506" s="99">
        <v>45694.0</v>
      </c>
      <c r="F506" s="113"/>
      <c r="G506" s="112" t="s">
        <v>380</v>
      </c>
      <c r="H506" s="15">
        <v>8000.0</v>
      </c>
      <c r="I506" s="16"/>
      <c r="J506" s="99">
        <v>45722.0</v>
      </c>
      <c r="L506" s="113"/>
      <c r="R506" s="8"/>
    </row>
    <row r="507">
      <c r="A507" s="112" t="s">
        <v>50</v>
      </c>
      <c r="B507" s="16">
        <v>15000.0</v>
      </c>
      <c r="C507" s="16">
        <v>15000.0</v>
      </c>
      <c r="D507" s="114">
        <v>45811.0</v>
      </c>
      <c r="F507" s="113"/>
      <c r="G507" s="112" t="s">
        <v>381</v>
      </c>
      <c r="H507" s="15">
        <v>8000.0</v>
      </c>
      <c r="I507" s="16"/>
      <c r="J507" s="115">
        <v>45722.0</v>
      </c>
      <c r="L507" s="113"/>
      <c r="R507" s="8"/>
    </row>
    <row r="508">
      <c r="A508" s="112" t="s">
        <v>82</v>
      </c>
      <c r="B508" s="16">
        <v>5500.0</v>
      </c>
      <c r="C508" s="16"/>
      <c r="D508" s="99">
        <v>45753.0</v>
      </c>
      <c r="F508" s="113"/>
      <c r="G508" s="112" t="s">
        <v>382</v>
      </c>
      <c r="H508" s="16">
        <v>10000.0</v>
      </c>
      <c r="I508" s="16"/>
      <c r="J508" s="114">
        <v>45813.0</v>
      </c>
      <c r="L508" s="113"/>
      <c r="R508" s="8"/>
    </row>
    <row r="509">
      <c r="A509" s="112" t="s">
        <v>50</v>
      </c>
      <c r="B509" s="16">
        <v>9500.0</v>
      </c>
      <c r="C509" s="16"/>
      <c r="D509" s="114">
        <v>45813.0</v>
      </c>
      <c r="F509" s="113"/>
      <c r="G509" s="112" t="s">
        <v>383</v>
      </c>
      <c r="H509" s="16">
        <v>500.0</v>
      </c>
      <c r="I509" s="16"/>
      <c r="L509" s="113"/>
      <c r="R509" s="8"/>
    </row>
    <row r="510">
      <c r="A510" s="112" t="s">
        <v>384</v>
      </c>
      <c r="B510" s="16">
        <v>10000.0</v>
      </c>
      <c r="C510" s="16"/>
      <c r="D510" s="114">
        <v>45813.0</v>
      </c>
      <c r="F510" s="113"/>
      <c r="G510" s="112" t="s">
        <v>379</v>
      </c>
      <c r="H510" s="16">
        <v>500.0</v>
      </c>
      <c r="I510" s="16"/>
      <c r="J510" s="114">
        <v>45827.0</v>
      </c>
      <c r="L510" s="113"/>
      <c r="R510" s="8"/>
    </row>
    <row r="511">
      <c r="A511" s="112" t="s">
        <v>385</v>
      </c>
      <c r="B511" s="16">
        <v>11000.0</v>
      </c>
      <c r="C511" s="16"/>
      <c r="D511" s="114">
        <v>45823.0</v>
      </c>
      <c r="F511" s="113"/>
      <c r="G511" s="112" t="s">
        <v>386</v>
      </c>
      <c r="H511" s="16">
        <v>2000.0</v>
      </c>
      <c r="I511" s="16"/>
      <c r="J511" s="114">
        <v>45828.0</v>
      </c>
      <c r="L511" s="113"/>
      <c r="R511" s="8"/>
    </row>
    <row r="512">
      <c r="A512" s="6" t="s">
        <v>387</v>
      </c>
      <c r="B512" s="16">
        <v>15000.0</v>
      </c>
      <c r="C512" s="16">
        <v>14000.0</v>
      </c>
      <c r="F512" s="113"/>
      <c r="G512" s="116"/>
      <c r="H512" s="19"/>
      <c r="I512" s="19"/>
      <c r="L512" s="113"/>
      <c r="R512" s="8"/>
    </row>
    <row r="513">
      <c r="A513" s="112" t="s">
        <v>77</v>
      </c>
      <c r="B513" s="16">
        <v>14000.0</v>
      </c>
      <c r="C513" s="16">
        <v>13500.0</v>
      </c>
      <c r="D513" s="114">
        <v>45827.0</v>
      </c>
      <c r="F513" s="117"/>
      <c r="G513" s="116"/>
      <c r="H513" s="16"/>
      <c r="I513" s="16"/>
      <c r="L513" s="117"/>
      <c r="R513" s="8"/>
    </row>
    <row r="514">
      <c r="A514" s="112" t="s">
        <v>388</v>
      </c>
      <c r="B514" s="6">
        <v>10000.0</v>
      </c>
      <c r="C514" s="6">
        <v>10000.0</v>
      </c>
      <c r="D514" s="114">
        <v>45829.0</v>
      </c>
      <c r="F514" s="113"/>
      <c r="G514" s="116"/>
      <c r="L514" s="113"/>
      <c r="R514" s="8"/>
    </row>
    <row r="515">
      <c r="A515" s="112" t="s">
        <v>269</v>
      </c>
      <c r="B515" s="6">
        <v>5000.0</v>
      </c>
      <c r="D515" s="114">
        <v>45821.0</v>
      </c>
      <c r="F515" s="113"/>
      <c r="G515" s="116"/>
      <c r="L515" s="113"/>
      <c r="R515" s="8"/>
    </row>
    <row r="516">
      <c r="A516" s="112" t="s">
        <v>389</v>
      </c>
      <c r="B516" s="16">
        <v>5000.0</v>
      </c>
      <c r="C516" s="6">
        <v>5000.0</v>
      </c>
      <c r="F516" s="113"/>
      <c r="G516" s="116"/>
      <c r="H516" s="16"/>
      <c r="L516" s="113"/>
      <c r="R516" s="8"/>
    </row>
    <row r="517">
      <c r="A517" s="116"/>
      <c r="B517" s="16"/>
      <c r="C517" s="19"/>
      <c r="F517" s="113"/>
      <c r="G517" s="116"/>
      <c r="H517" s="16"/>
      <c r="I517" s="19"/>
      <c r="L517" s="113"/>
      <c r="R517" s="8"/>
    </row>
    <row r="518">
      <c r="A518" s="116"/>
      <c r="C518" s="19"/>
      <c r="F518" s="113"/>
      <c r="G518" s="116"/>
      <c r="I518" s="19"/>
      <c r="L518" s="113"/>
      <c r="R518" s="8"/>
    </row>
    <row r="519">
      <c r="A519" s="112" t="s">
        <v>277</v>
      </c>
      <c r="B519" s="16">
        <v>820.0</v>
      </c>
      <c r="C519" s="19"/>
      <c r="F519" s="113"/>
      <c r="G519" s="112" t="s">
        <v>277</v>
      </c>
      <c r="H519" s="16">
        <v>300.0</v>
      </c>
      <c r="I519" s="19"/>
      <c r="L519" s="113"/>
      <c r="R519" s="8"/>
    </row>
    <row r="520">
      <c r="A520" s="118" t="s">
        <v>19</v>
      </c>
      <c r="B520" s="64">
        <v>2110.0</v>
      </c>
      <c r="C520" s="84">
        <f>SUM(C504:C519)</f>
        <v>69000</v>
      </c>
      <c r="F520" s="113"/>
      <c r="G520" s="118" t="s">
        <v>19</v>
      </c>
      <c r="H520" s="64">
        <v>500.0</v>
      </c>
      <c r="I520" s="84">
        <f>SUM(I504:I519)</f>
        <v>500</v>
      </c>
      <c r="L520" s="113"/>
      <c r="R520" s="8"/>
    </row>
    <row r="521">
      <c r="A521" s="119" t="s">
        <v>20</v>
      </c>
      <c r="B521" s="65">
        <f>SUM(B504:B520)</f>
        <v>135930</v>
      </c>
      <c r="F521" s="113"/>
      <c r="G521" s="119" t="s">
        <v>20</v>
      </c>
      <c r="H521" s="65">
        <f>SUM(H504:H520)</f>
        <v>40800</v>
      </c>
      <c r="L521" s="113"/>
      <c r="R521" s="8"/>
    </row>
    <row r="522">
      <c r="A522" s="112" t="s">
        <v>92</v>
      </c>
      <c r="B522" s="31">
        <f>B520+C520-E636</f>
        <v>5320</v>
      </c>
      <c r="F522" s="113"/>
      <c r="G522" s="112" t="s">
        <v>92</v>
      </c>
      <c r="H522" s="31">
        <f>H520+I520-K636</f>
        <v>0</v>
      </c>
      <c r="L522" s="113"/>
      <c r="R522" s="8"/>
    </row>
    <row r="523">
      <c r="A523" s="112" t="s">
        <v>93</v>
      </c>
      <c r="B523" s="15"/>
      <c r="F523" s="113"/>
      <c r="G523" s="112" t="s">
        <v>93</v>
      </c>
      <c r="H523" s="15"/>
      <c r="L523" s="113"/>
      <c r="R523" s="8"/>
    </row>
    <row r="524">
      <c r="A524" s="120" t="s">
        <v>278</v>
      </c>
      <c r="B524" s="16">
        <v>6000.0</v>
      </c>
      <c r="C524" s="121">
        <v>45827.0</v>
      </c>
      <c r="F524" s="113"/>
      <c r="G524" s="120" t="s">
        <v>278</v>
      </c>
      <c r="H524" s="31"/>
      <c r="I524" s="34"/>
      <c r="L524" s="113"/>
      <c r="R524" s="8"/>
    </row>
    <row r="525">
      <c r="A525" s="120" t="s">
        <v>390</v>
      </c>
      <c r="B525" s="6" t="s">
        <v>391</v>
      </c>
      <c r="C525" s="34"/>
      <c r="E525" s="36"/>
      <c r="F525" s="113"/>
      <c r="G525" s="120"/>
      <c r="H525" s="36"/>
      <c r="I525" s="34"/>
      <c r="K525" s="36"/>
      <c r="L525" s="113"/>
      <c r="R525" s="8"/>
    </row>
    <row r="526">
      <c r="A526" s="120" t="s">
        <v>392</v>
      </c>
      <c r="B526" s="19">
        <v>150.0</v>
      </c>
      <c r="C526" s="99">
        <v>45753.0</v>
      </c>
      <c r="F526" s="113"/>
      <c r="G526" s="120"/>
      <c r="H526" s="36"/>
      <c r="I526" s="35"/>
      <c r="L526" s="113"/>
      <c r="R526" s="8"/>
    </row>
    <row r="527">
      <c r="A527" s="122" t="s">
        <v>393</v>
      </c>
      <c r="B527" s="123">
        <v>2000.0</v>
      </c>
      <c r="F527" s="113"/>
      <c r="G527" s="120"/>
      <c r="H527" s="31"/>
      <c r="I527" s="35"/>
      <c r="L527" s="113"/>
      <c r="R527" s="8"/>
    </row>
    <row r="528">
      <c r="A528" s="122" t="s">
        <v>394</v>
      </c>
      <c r="B528" s="123">
        <v>2000.0</v>
      </c>
      <c r="E528" s="40"/>
      <c r="F528" s="113"/>
      <c r="G528" s="120"/>
      <c r="H528" s="36"/>
      <c r="I528" s="35"/>
      <c r="K528" s="40"/>
      <c r="L528" s="113"/>
      <c r="R528" s="8"/>
    </row>
    <row r="529">
      <c r="A529" s="122" t="s">
        <v>34</v>
      </c>
      <c r="B529" s="123">
        <v>20.0</v>
      </c>
      <c r="C529" s="114">
        <v>45815.0</v>
      </c>
      <c r="E529" s="40"/>
      <c r="F529" s="113"/>
      <c r="G529" s="120"/>
      <c r="H529" s="36"/>
      <c r="I529" s="34"/>
      <c r="K529" s="40"/>
      <c r="L529" s="113"/>
      <c r="R529" s="8"/>
    </row>
    <row r="530">
      <c r="A530" s="102" t="s">
        <v>395</v>
      </c>
      <c r="B530" s="123">
        <v>630.0</v>
      </c>
      <c r="C530" s="121">
        <v>45815.0</v>
      </c>
      <c r="E530" s="40"/>
      <c r="F530" s="113"/>
      <c r="G530" s="120"/>
      <c r="H530" s="36"/>
      <c r="I530" s="34"/>
      <c r="K530" s="40"/>
      <c r="L530" s="113"/>
      <c r="R530" s="8"/>
    </row>
    <row r="531">
      <c r="A531" s="122" t="s">
        <v>396</v>
      </c>
      <c r="B531" s="123">
        <v>190.0</v>
      </c>
      <c r="F531" s="113"/>
      <c r="G531" s="120"/>
      <c r="H531" s="36"/>
      <c r="I531" s="34"/>
      <c r="L531" s="113"/>
      <c r="R531" s="8"/>
    </row>
    <row r="532">
      <c r="A532" s="102" t="s">
        <v>397</v>
      </c>
      <c r="B532" s="123">
        <v>500.0</v>
      </c>
      <c r="C532" s="105"/>
      <c r="F532" s="113"/>
      <c r="G532" s="120"/>
      <c r="H532" s="36"/>
      <c r="I532" s="35"/>
      <c r="L532" s="113"/>
      <c r="R532" s="8"/>
    </row>
    <row r="533">
      <c r="A533" s="102" t="s">
        <v>34</v>
      </c>
      <c r="B533" s="123">
        <v>20.0</v>
      </c>
      <c r="D533" s="35"/>
      <c r="E533" s="36"/>
      <c r="F533" s="113"/>
      <c r="G533" s="120"/>
      <c r="H533" s="36"/>
      <c r="I533" s="34"/>
      <c r="J533" s="35"/>
      <c r="K533" s="36"/>
      <c r="L533" s="113"/>
      <c r="R533" s="8"/>
    </row>
    <row r="534">
      <c r="A534" s="122" t="s">
        <v>398</v>
      </c>
      <c r="B534" s="123">
        <v>550.0</v>
      </c>
      <c r="E534" s="36"/>
      <c r="F534" s="113"/>
      <c r="G534" s="124"/>
      <c r="H534" s="36"/>
      <c r="I534" s="34"/>
      <c r="K534" s="36"/>
      <c r="L534" s="113"/>
      <c r="R534" s="8"/>
    </row>
    <row r="535">
      <c r="A535" s="122" t="s">
        <v>399</v>
      </c>
      <c r="B535" s="123">
        <v>110.0</v>
      </c>
      <c r="E535" s="40"/>
      <c r="F535" s="113"/>
      <c r="G535" s="120"/>
      <c r="H535" s="36"/>
      <c r="I535" s="34"/>
      <c r="K535" s="40"/>
      <c r="L535" s="113"/>
      <c r="R535" s="8"/>
    </row>
    <row r="536">
      <c r="A536" s="102" t="s">
        <v>400</v>
      </c>
      <c r="B536" s="123">
        <v>120.0</v>
      </c>
      <c r="E536" s="40"/>
      <c r="F536" s="113"/>
      <c r="G536" s="120" t="s">
        <v>283</v>
      </c>
      <c r="I536" s="36"/>
      <c r="K536" s="40"/>
      <c r="L536" s="113"/>
      <c r="R536" s="8"/>
    </row>
    <row r="537">
      <c r="A537" s="122" t="s">
        <v>34</v>
      </c>
      <c r="B537" s="123">
        <v>20.0</v>
      </c>
      <c r="D537" s="99"/>
      <c r="F537" s="113"/>
      <c r="G537" s="125"/>
      <c r="H537" s="99"/>
      <c r="J537" s="99"/>
      <c r="L537" s="113"/>
      <c r="R537" s="8"/>
    </row>
    <row r="538">
      <c r="A538" s="102" t="s">
        <v>34</v>
      </c>
      <c r="B538" s="123">
        <v>110.0</v>
      </c>
      <c r="C538" s="114">
        <v>45818.0</v>
      </c>
      <c r="F538" s="113"/>
      <c r="G538" s="116"/>
      <c r="L538" s="113"/>
      <c r="R538" s="8"/>
    </row>
    <row r="539">
      <c r="A539" s="122" t="s">
        <v>401</v>
      </c>
      <c r="B539" s="123">
        <v>3000.0</v>
      </c>
      <c r="G539" s="112" t="s">
        <v>172</v>
      </c>
      <c r="H539" s="6">
        <v>10000.0</v>
      </c>
      <c r="I539" s="34" t="s">
        <v>402</v>
      </c>
      <c r="L539" s="113"/>
      <c r="R539" s="8"/>
    </row>
    <row r="540">
      <c r="A540" s="122" t="s">
        <v>403</v>
      </c>
      <c r="B540" s="123">
        <v>1000.0</v>
      </c>
      <c r="G540" s="112" t="s">
        <v>186</v>
      </c>
      <c r="H540" s="6">
        <v>250.0</v>
      </c>
      <c r="K540" s="126"/>
      <c r="L540" s="113"/>
      <c r="R540" s="8"/>
    </row>
    <row r="541">
      <c r="B541" s="6" t="s">
        <v>404</v>
      </c>
      <c r="C541" s="19">
        <f>SUM(B524:B540)</f>
        <v>16420</v>
      </c>
      <c r="G541" s="112" t="s">
        <v>186</v>
      </c>
      <c r="H541" s="6">
        <v>300.0</v>
      </c>
      <c r="I541" s="99">
        <v>45694.0</v>
      </c>
      <c r="K541" s="126"/>
      <c r="L541" s="113"/>
      <c r="R541" s="8"/>
    </row>
    <row r="542">
      <c r="G542" s="112" t="s">
        <v>405</v>
      </c>
      <c r="H542" s="6">
        <v>700.0</v>
      </c>
      <c r="I542" s="99">
        <v>45722.0</v>
      </c>
      <c r="J542" s="35"/>
      <c r="K542" s="127"/>
      <c r="L542" s="113"/>
      <c r="R542" s="8"/>
    </row>
    <row r="543">
      <c r="G543" s="112" t="s">
        <v>186</v>
      </c>
      <c r="H543" s="6">
        <v>300.0</v>
      </c>
      <c r="K543" s="128"/>
      <c r="L543" s="113"/>
      <c r="R543" s="8"/>
    </row>
    <row r="544">
      <c r="A544" s="112" t="s">
        <v>368</v>
      </c>
      <c r="B544" s="6">
        <v>600.0</v>
      </c>
      <c r="C544" s="34" t="s">
        <v>369</v>
      </c>
      <c r="E544" s="126"/>
      <c r="F544" s="113"/>
      <c r="G544" s="112" t="s">
        <v>177</v>
      </c>
      <c r="H544" s="6">
        <v>150.0</v>
      </c>
      <c r="J544" s="35"/>
      <c r="K544" s="127"/>
      <c r="L544" s="113"/>
      <c r="R544" s="8"/>
    </row>
    <row r="545">
      <c r="A545" s="112" t="s">
        <v>370</v>
      </c>
      <c r="B545" s="6">
        <v>380.0</v>
      </c>
      <c r="E545" s="126"/>
      <c r="F545" s="113"/>
      <c r="G545" s="112" t="s">
        <v>379</v>
      </c>
      <c r="H545" s="6">
        <v>15000.0</v>
      </c>
      <c r="I545" s="99"/>
      <c r="K545" s="126"/>
      <c r="L545" s="113"/>
      <c r="R545" s="8"/>
    </row>
    <row r="546">
      <c r="A546" s="112" t="s">
        <v>371</v>
      </c>
      <c r="B546" s="6">
        <v>400.0</v>
      </c>
      <c r="E546" s="126"/>
      <c r="F546" s="113"/>
      <c r="G546" s="112" t="s">
        <v>406</v>
      </c>
      <c r="H546" s="6">
        <v>150.0</v>
      </c>
      <c r="I546" s="114">
        <v>45812.0</v>
      </c>
      <c r="K546" s="127"/>
      <c r="L546" s="113"/>
      <c r="R546" s="8"/>
    </row>
    <row r="547">
      <c r="A547" s="112" t="s">
        <v>372</v>
      </c>
      <c r="B547" s="6">
        <v>480.0</v>
      </c>
      <c r="D547" s="35"/>
      <c r="E547" s="127"/>
      <c r="F547" s="113"/>
      <c r="G547" s="112" t="s">
        <v>186</v>
      </c>
      <c r="H547" s="6">
        <v>200.0</v>
      </c>
      <c r="J547" s="35"/>
      <c r="K547" s="127"/>
      <c r="L547" s="113"/>
      <c r="R547" s="8"/>
    </row>
    <row r="548">
      <c r="A548" s="112" t="s">
        <v>407</v>
      </c>
      <c r="B548" s="6">
        <v>1000.0</v>
      </c>
      <c r="E548" s="128"/>
      <c r="F548" s="113"/>
      <c r="G548" s="129" t="s">
        <v>379</v>
      </c>
      <c r="H548" s="6">
        <v>9500.0</v>
      </c>
      <c r="I548" s="99">
        <v>45813.0</v>
      </c>
      <c r="K548" s="128"/>
      <c r="L548" s="113"/>
      <c r="R548" s="8"/>
    </row>
    <row r="549">
      <c r="A549" s="116"/>
      <c r="B549" s="6">
        <v>40.0</v>
      </c>
      <c r="D549" s="35"/>
      <c r="E549" s="127"/>
      <c r="F549" s="113"/>
      <c r="G549" s="112" t="s">
        <v>186</v>
      </c>
      <c r="H549" s="6">
        <v>170.0</v>
      </c>
      <c r="I549" s="40"/>
      <c r="K549" s="128"/>
      <c r="L549" s="113"/>
      <c r="R549" s="8"/>
    </row>
    <row r="550">
      <c r="A550" s="112" t="s">
        <v>47</v>
      </c>
      <c r="B550" s="6">
        <v>6500.0</v>
      </c>
      <c r="C550" s="99">
        <v>45663.0</v>
      </c>
      <c r="E550" s="126"/>
      <c r="F550" s="113"/>
      <c r="G550" s="112" t="s">
        <v>34</v>
      </c>
      <c r="H550" s="36">
        <v>20.0</v>
      </c>
      <c r="J550" s="34"/>
      <c r="K550" s="128"/>
      <c r="L550" s="113"/>
      <c r="R550" s="8"/>
    </row>
    <row r="551">
      <c r="A551" s="112" t="s">
        <v>408</v>
      </c>
      <c r="B551" s="6">
        <v>3000.0</v>
      </c>
      <c r="C551" s="99">
        <v>45663.0</v>
      </c>
      <c r="E551" s="127">
        <v>3000.0</v>
      </c>
      <c r="F551" s="112" t="s">
        <v>408</v>
      </c>
      <c r="G551" s="112" t="s">
        <v>409</v>
      </c>
      <c r="H551" s="36">
        <v>80.0</v>
      </c>
      <c r="I551" s="35"/>
      <c r="J551" s="34" t="s">
        <v>410</v>
      </c>
      <c r="K551" s="51">
        <v>500.0</v>
      </c>
      <c r="L551" s="113"/>
      <c r="R551" s="8"/>
    </row>
    <row r="552">
      <c r="A552" s="112" t="s">
        <v>278</v>
      </c>
      <c r="B552" s="6">
        <v>700.0</v>
      </c>
      <c r="D552" s="35"/>
      <c r="E552" s="127"/>
      <c r="F552" s="113"/>
      <c r="G552" s="112" t="s">
        <v>227</v>
      </c>
      <c r="H552" s="6">
        <v>50.0</v>
      </c>
      <c r="I552" s="35"/>
      <c r="L552" s="113"/>
      <c r="R552" s="8"/>
    </row>
    <row r="553">
      <c r="A553" s="129" t="s">
        <v>186</v>
      </c>
      <c r="B553" s="6">
        <v>465.0</v>
      </c>
      <c r="C553" s="40"/>
      <c r="E553" s="128"/>
      <c r="F553" s="113"/>
      <c r="G553" s="112" t="s">
        <v>411</v>
      </c>
      <c r="H553" s="36">
        <v>100.0</v>
      </c>
      <c r="K553" s="128"/>
      <c r="L553" s="113"/>
      <c r="R553" s="8"/>
    </row>
    <row r="554">
      <c r="A554" s="112" t="s">
        <v>412</v>
      </c>
      <c r="B554" s="6">
        <v>500.0</v>
      </c>
      <c r="C554" s="130">
        <v>45694.0</v>
      </c>
      <c r="E554" s="127">
        <v>500.0</v>
      </c>
      <c r="F554" s="112" t="s">
        <v>412</v>
      </c>
      <c r="G554" s="112" t="s">
        <v>186</v>
      </c>
      <c r="H554" s="36">
        <v>300.0</v>
      </c>
      <c r="I554" s="6" t="s">
        <v>413</v>
      </c>
      <c r="J554" s="52"/>
      <c r="K554" s="127"/>
      <c r="L554" s="113"/>
      <c r="R554" s="8"/>
    </row>
    <row r="555">
      <c r="A555" s="112" t="s">
        <v>334</v>
      </c>
      <c r="B555" s="19">
        <v>500.0</v>
      </c>
      <c r="D555" s="34"/>
      <c r="E555" s="128"/>
      <c r="F555" s="113"/>
      <c r="G555" s="112" t="s">
        <v>379</v>
      </c>
      <c r="H555" s="6">
        <v>50.0</v>
      </c>
      <c r="J555" s="114">
        <v>45825.0</v>
      </c>
      <c r="K555" s="127">
        <v>500.0</v>
      </c>
      <c r="L555" s="113"/>
      <c r="R555" s="8"/>
    </row>
    <row r="556">
      <c r="A556" s="112" t="s">
        <v>186</v>
      </c>
      <c r="B556" s="131">
        <v>275.0</v>
      </c>
      <c r="C556" s="35"/>
      <c r="D556" s="34"/>
      <c r="E556" s="126"/>
      <c r="F556" s="113"/>
      <c r="H556" s="6">
        <v>100.0</v>
      </c>
      <c r="I556" s="105"/>
      <c r="K556" s="127"/>
      <c r="L556" s="113"/>
      <c r="R556" s="8"/>
    </row>
    <row r="557">
      <c r="A557" s="112" t="s">
        <v>186</v>
      </c>
      <c r="B557" s="6">
        <v>245.0</v>
      </c>
      <c r="C557" s="35">
        <v>45722.0</v>
      </c>
      <c r="E557" s="128"/>
      <c r="F557" s="113"/>
      <c r="G557" s="112" t="s">
        <v>186</v>
      </c>
      <c r="H557" s="36">
        <v>580.0</v>
      </c>
      <c r="I557" s="34"/>
      <c r="K557" s="128"/>
      <c r="L557" s="113"/>
      <c r="R557" s="8"/>
    </row>
    <row r="558">
      <c r="A558" s="112" t="s">
        <v>414</v>
      </c>
      <c r="B558" s="6">
        <v>10000.0</v>
      </c>
      <c r="C558" s="99">
        <v>45753.0</v>
      </c>
      <c r="E558" s="128"/>
      <c r="F558" s="113"/>
      <c r="G558" s="112" t="s">
        <v>180</v>
      </c>
      <c r="H558" s="6">
        <v>500.0</v>
      </c>
      <c r="I558" s="35"/>
      <c r="K558" s="128"/>
      <c r="L558" s="113"/>
      <c r="R558" s="8"/>
    </row>
    <row r="559">
      <c r="A559" s="112" t="s">
        <v>415</v>
      </c>
      <c r="B559" s="6">
        <v>1500.0</v>
      </c>
      <c r="C559" s="34"/>
      <c r="D559" s="52"/>
      <c r="E559" s="127"/>
      <c r="F559" s="113"/>
      <c r="G559" s="112" t="s">
        <v>416</v>
      </c>
      <c r="H559" s="6">
        <v>170.0</v>
      </c>
      <c r="J559" s="35"/>
      <c r="K559" s="127"/>
      <c r="L559" s="113"/>
      <c r="R559" s="8"/>
    </row>
    <row r="560">
      <c r="A560" s="112" t="s">
        <v>186</v>
      </c>
      <c r="B560" s="16">
        <v>305.0</v>
      </c>
      <c r="C560" s="34"/>
      <c r="E560" s="128"/>
      <c r="F560" s="113"/>
      <c r="G560" s="112" t="s">
        <v>371</v>
      </c>
      <c r="H560" s="6">
        <v>390.0</v>
      </c>
      <c r="K560" s="127"/>
      <c r="L560" s="113"/>
      <c r="R560" s="8"/>
    </row>
    <row r="561">
      <c r="A561" s="112" t="s">
        <v>417</v>
      </c>
      <c r="B561" s="6">
        <v>5620.0</v>
      </c>
      <c r="C561" s="35">
        <v>45813.0</v>
      </c>
      <c r="E561" s="127"/>
      <c r="F561" s="113"/>
      <c r="G561" s="6" t="s">
        <v>418</v>
      </c>
      <c r="H561" s="6">
        <v>75.0</v>
      </c>
      <c r="I561" s="34"/>
      <c r="K561" s="127"/>
      <c r="L561" s="113"/>
      <c r="R561" s="8"/>
    </row>
    <row r="562">
      <c r="A562" s="112" t="s">
        <v>186</v>
      </c>
      <c r="B562" s="6">
        <v>270.0</v>
      </c>
      <c r="D562" s="35"/>
      <c r="E562" s="128"/>
      <c r="F562" s="113"/>
      <c r="G562" s="6" t="s">
        <v>419</v>
      </c>
      <c r="H562" s="6">
        <v>25.0</v>
      </c>
      <c r="I562" s="34"/>
      <c r="K562" s="127"/>
      <c r="L562" s="113"/>
      <c r="R562" s="8"/>
    </row>
    <row r="563">
      <c r="A563" s="112" t="s">
        <v>420</v>
      </c>
      <c r="B563" s="6">
        <v>140.0</v>
      </c>
      <c r="E563" s="128"/>
      <c r="F563" s="113"/>
      <c r="G563" s="112" t="s">
        <v>186</v>
      </c>
      <c r="H563" s="6">
        <v>150.0</v>
      </c>
      <c r="I563" s="114">
        <v>45828.0</v>
      </c>
      <c r="K563" s="128"/>
      <c r="L563" s="113"/>
      <c r="R563" s="8"/>
    </row>
    <row r="564">
      <c r="A564" s="112" t="s">
        <v>421</v>
      </c>
      <c r="B564" s="6">
        <v>250.0</v>
      </c>
      <c r="E564" s="127"/>
      <c r="F564" s="113"/>
      <c r="G564" s="116"/>
      <c r="H564" s="36"/>
      <c r="I564" s="114">
        <v>45829.0</v>
      </c>
      <c r="K564" s="128"/>
      <c r="L564" s="113"/>
      <c r="R564" s="8"/>
    </row>
    <row r="565">
      <c r="A565" s="112" t="s">
        <v>422</v>
      </c>
      <c r="B565" s="16">
        <v>100.0</v>
      </c>
      <c r="E565" s="127"/>
      <c r="F565" s="113"/>
      <c r="G565" s="116"/>
      <c r="I565" s="34"/>
      <c r="K565" s="128"/>
      <c r="L565" s="113"/>
      <c r="R565" s="8"/>
    </row>
    <row r="566">
      <c r="A566" s="112" t="s">
        <v>186</v>
      </c>
      <c r="B566" s="6">
        <v>190.0</v>
      </c>
      <c r="C566" s="121">
        <v>45815.0</v>
      </c>
      <c r="E566" s="127"/>
      <c r="F566" s="113"/>
      <c r="G566" s="116"/>
      <c r="J566" s="34"/>
      <c r="K566" s="127"/>
      <c r="L566" s="113"/>
      <c r="R566" s="8"/>
    </row>
    <row r="567">
      <c r="A567" s="102" t="s">
        <v>383</v>
      </c>
      <c r="B567" s="6">
        <v>100.0</v>
      </c>
      <c r="C567" s="114">
        <v>45816.0</v>
      </c>
      <c r="G567" s="116"/>
      <c r="I567" s="105"/>
      <c r="J567" s="34"/>
      <c r="K567" s="126"/>
      <c r="L567" s="113"/>
      <c r="R567" s="8"/>
    </row>
    <row r="568">
      <c r="A568" s="6" t="s">
        <v>423</v>
      </c>
      <c r="B568" s="6">
        <v>400.0</v>
      </c>
      <c r="C568" s="114">
        <v>45817.0</v>
      </c>
      <c r="E568" s="126"/>
      <c r="F568" s="113"/>
      <c r="G568" s="116"/>
      <c r="K568" s="126"/>
      <c r="L568" s="113"/>
      <c r="R568" s="8"/>
    </row>
    <row r="569">
      <c r="A569" s="6" t="s">
        <v>424</v>
      </c>
      <c r="B569" s="6">
        <v>500.0</v>
      </c>
      <c r="C569" s="35"/>
      <c r="E569" s="126"/>
      <c r="F569" s="113"/>
      <c r="G569" s="116"/>
      <c r="K569" s="126"/>
      <c r="L569" s="113"/>
      <c r="R569" s="8"/>
    </row>
    <row r="570">
      <c r="A570" s="112" t="s">
        <v>425</v>
      </c>
      <c r="B570" s="6">
        <v>775.0</v>
      </c>
      <c r="E570" s="126"/>
      <c r="F570" s="113"/>
      <c r="G570" s="116"/>
      <c r="K570" s="127"/>
      <c r="L570" s="113"/>
      <c r="R570" s="8"/>
    </row>
    <row r="571">
      <c r="A571" s="112" t="s">
        <v>426</v>
      </c>
      <c r="B571" s="6">
        <v>150.0</v>
      </c>
      <c r="D571" s="34"/>
      <c r="E571" s="126"/>
      <c r="F571" s="113"/>
      <c r="G571" s="116"/>
      <c r="I571" s="34"/>
      <c r="K571" s="126"/>
      <c r="L571" s="113"/>
      <c r="R571" s="8"/>
    </row>
    <row r="572">
      <c r="A572" s="112" t="s">
        <v>427</v>
      </c>
      <c r="B572" s="6">
        <v>130.0</v>
      </c>
      <c r="C572" s="35"/>
      <c r="E572" s="126"/>
      <c r="F572" s="113"/>
      <c r="G572" s="116"/>
      <c r="K572" s="126"/>
      <c r="L572" s="113"/>
      <c r="R572" s="8"/>
    </row>
    <row r="573">
      <c r="A573" s="6" t="s">
        <v>428</v>
      </c>
      <c r="B573" s="6">
        <v>1550.0</v>
      </c>
      <c r="C573" s="114">
        <v>45818.0</v>
      </c>
      <c r="D573" s="114">
        <v>45818.0</v>
      </c>
      <c r="E573" s="132">
        <v>4000.0</v>
      </c>
      <c r="F573" s="112" t="s">
        <v>401</v>
      </c>
      <c r="G573" s="116"/>
      <c r="I573" s="34"/>
      <c r="J573" s="34"/>
      <c r="K573" s="126"/>
      <c r="L573" s="113"/>
      <c r="R573" s="8"/>
    </row>
    <row r="574">
      <c r="A574" s="6" t="s">
        <v>143</v>
      </c>
      <c r="B574" s="6">
        <v>750.0</v>
      </c>
      <c r="C574" s="114">
        <v>45819.0</v>
      </c>
      <c r="E574" s="126"/>
      <c r="F574" s="113"/>
      <c r="G574" s="116"/>
      <c r="K574" s="126"/>
      <c r="L574" s="113"/>
      <c r="R574" s="8"/>
    </row>
    <row r="575">
      <c r="A575" s="6" t="s">
        <v>429</v>
      </c>
      <c r="B575" s="6">
        <v>21500.0</v>
      </c>
      <c r="E575" s="79">
        <v>20000.0</v>
      </c>
      <c r="F575" s="6" t="s">
        <v>429</v>
      </c>
      <c r="G575" s="116"/>
      <c r="K575" s="126"/>
      <c r="L575" s="113"/>
      <c r="R575" s="8"/>
    </row>
    <row r="576">
      <c r="A576" s="6" t="s">
        <v>430</v>
      </c>
      <c r="B576" s="6">
        <v>3000.0</v>
      </c>
      <c r="G576" s="116"/>
      <c r="I576" s="35"/>
      <c r="K576" s="126"/>
      <c r="L576" s="113"/>
      <c r="R576" s="8"/>
    </row>
    <row r="577">
      <c r="A577" s="6" t="s">
        <v>186</v>
      </c>
      <c r="B577" s="6">
        <v>330.0</v>
      </c>
      <c r="G577" s="116"/>
      <c r="K577" s="126"/>
      <c r="L577" s="113"/>
      <c r="R577" s="8"/>
    </row>
    <row r="578">
      <c r="A578" s="6" t="s">
        <v>186</v>
      </c>
      <c r="B578" s="6">
        <v>80.0</v>
      </c>
      <c r="C578" s="114">
        <v>45820.0</v>
      </c>
      <c r="G578" s="116"/>
      <c r="J578" s="34"/>
      <c r="K578" s="126"/>
      <c r="L578" s="113"/>
      <c r="R578" s="8"/>
    </row>
    <row r="579">
      <c r="A579" s="6" t="s">
        <v>431</v>
      </c>
      <c r="B579" s="6">
        <v>50.0</v>
      </c>
      <c r="G579" s="116"/>
      <c r="I579" s="35"/>
      <c r="K579" s="126"/>
      <c r="L579" s="113"/>
      <c r="R579" s="8"/>
    </row>
    <row r="580">
      <c r="A580" s="6" t="s">
        <v>334</v>
      </c>
      <c r="B580" s="6">
        <v>200.0</v>
      </c>
      <c r="C580" s="114">
        <v>45821.0</v>
      </c>
      <c r="G580" s="116"/>
      <c r="K580" s="126"/>
      <c r="L580" s="113"/>
      <c r="R580" s="8"/>
    </row>
    <row r="581">
      <c r="A581" s="6" t="s">
        <v>432</v>
      </c>
      <c r="B581" s="6">
        <v>50.0</v>
      </c>
      <c r="E581" s="126"/>
      <c r="F581" s="113"/>
      <c r="G581" s="116"/>
      <c r="K581" s="126"/>
      <c r="L581" s="113"/>
      <c r="R581" s="8"/>
    </row>
    <row r="582">
      <c r="A582" s="112" t="s">
        <v>186</v>
      </c>
      <c r="B582" s="6">
        <v>140.0</v>
      </c>
      <c r="E582" s="126"/>
      <c r="F582" s="113"/>
      <c r="G582" s="116"/>
      <c r="K582" s="126"/>
      <c r="L582" s="113"/>
      <c r="R582" s="8"/>
    </row>
    <row r="583">
      <c r="A583" s="112" t="s">
        <v>186</v>
      </c>
      <c r="B583" s="6">
        <v>465.0</v>
      </c>
      <c r="C583" s="114">
        <v>45822.0</v>
      </c>
      <c r="E583" s="126"/>
      <c r="F583" s="113"/>
      <c r="G583" s="116"/>
      <c r="K583" s="126"/>
      <c r="L583" s="113"/>
      <c r="R583" s="8"/>
    </row>
    <row r="584">
      <c r="A584" s="6" t="s">
        <v>433</v>
      </c>
      <c r="B584" s="6">
        <v>8900.0</v>
      </c>
      <c r="C584" s="114">
        <v>45823.0</v>
      </c>
      <c r="D584" s="34"/>
      <c r="E584" s="126"/>
      <c r="F584" s="113"/>
      <c r="G584" s="116"/>
      <c r="J584" s="34"/>
      <c r="K584" s="126"/>
      <c r="L584" s="113"/>
      <c r="R584" s="8"/>
    </row>
    <row r="585">
      <c r="A585" s="112" t="s">
        <v>116</v>
      </c>
      <c r="B585" s="6">
        <v>300.0</v>
      </c>
      <c r="E585" s="126"/>
      <c r="F585" s="113"/>
      <c r="G585" s="116"/>
      <c r="K585" s="126"/>
      <c r="L585" s="113"/>
      <c r="R585" s="8"/>
    </row>
    <row r="586">
      <c r="A586" s="112" t="s">
        <v>186</v>
      </c>
      <c r="B586" s="6">
        <v>115.0</v>
      </c>
      <c r="C586" s="105"/>
      <c r="E586" s="126"/>
      <c r="F586" s="113"/>
      <c r="G586" s="116"/>
      <c r="K586" s="126"/>
      <c r="L586" s="113"/>
      <c r="R586" s="8"/>
    </row>
    <row r="587">
      <c r="A587" s="112"/>
      <c r="C587" s="114">
        <v>45824.0</v>
      </c>
      <c r="E587" s="126"/>
      <c r="F587" s="113"/>
      <c r="G587" s="116"/>
      <c r="I587" s="105"/>
      <c r="K587" s="126"/>
      <c r="L587" s="113"/>
      <c r="R587" s="8"/>
    </row>
    <row r="588">
      <c r="A588" s="116"/>
      <c r="C588" s="114">
        <v>45825.0</v>
      </c>
      <c r="E588" s="126"/>
      <c r="F588" s="113"/>
      <c r="G588" s="116"/>
      <c r="K588" s="126"/>
      <c r="L588" s="113"/>
      <c r="R588" s="8"/>
    </row>
    <row r="589">
      <c r="A589" s="112" t="s">
        <v>186</v>
      </c>
      <c r="B589" s="6">
        <v>255.0</v>
      </c>
      <c r="C589" s="114">
        <v>45826.0</v>
      </c>
      <c r="E589" s="126"/>
      <c r="F589" s="113"/>
      <c r="G589" s="116"/>
      <c r="K589" s="126"/>
      <c r="L589" s="113"/>
      <c r="R589" s="8"/>
    </row>
    <row r="590">
      <c r="A590" s="112" t="s">
        <v>149</v>
      </c>
      <c r="B590" s="6">
        <v>500.0</v>
      </c>
      <c r="C590" s="114">
        <v>45827.0</v>
      </c>
      <c r="D590" s="34"/>
      <c r="E590" s="127"/>
      <c r="F590" s="113"/>
      <c r="G590" s="116"/>
      <c r="J590" s="34"/>
      <c r="K590" s="127"/>
      <c r="L590" s="113"/>
      <c r="R590" s="8"/>
    </row>
    <row r="591">
      <c r="A591" s="112" t="s">
        <v>186</v>
      </c>
      <c r="B591" s="6">
        <v>435.0</v>
      </c>
      <c r="E591" s="6">
        <v>500.0</v>
      </c>
      <c r="F591" s="112" t="s">
        <v>149</v>
      </c>
      <c r="G591" s="116"/>
      <c r="I591" s="35"/>
      <c r="K591" s="126"/>
      <c r="L591" s="113"/>
      <c r="R591" s="8"/>
    </row>
    <row r="592">
      <c r="A592" s="112" t="s">
        <v>434</v>
      </c>
      <c r="B592" s="6">
        <v>60.0</v>
      </c>
      <c r="E592" s="126"/>
      <c r="F592" s="113"/>
      <c r="G592" s="116"/>
      <c r="K592" s="126"/>
      <c r="L592" s="113"/>
      <c r="R592" s="8"/>
    </row>
    <row r="593">
      <c r="A593" s="6" t="s">
        <v>186</v>
      </c>
      <c r="B593" s="6">
        <v>210.0</v>
      </c>
      <c r="C593" s="114">
        <v>45828.0</v>
      </c>
      <c r="E593" s="126"/>
      <c r="F593" s="113"/>
      <c r="G593" s="116"/>
      <c r="K593" s="126"/>
      <c r="L593" s="113"/>
      <c r="R593" s="8"/>
    </row>
    <row r="594">
      <c r="A594" s="6" t="s">
        <v>186</v>
      </c>
      <c r="B594" s="6">
        <v>110.0</v>
      </c>
      <c r="C594" s="114">
        <v>45829.0</v>
      </c>
      <c r="E594" s="126"/>
      <c r="F594" s="113"/>
      <c r="G594" s="116"/>
      <c r="K594" s="126"/>
      <c r="L594" s="113"/>
      <c r="R594" s="8"/>
    </row>
    <row r="595">
      <c r="A595" s="6" t="s">
        <v>116</v>
      </c>
      <c r="B595" s="6">
        <v>100.0</v>
      </c>
      <c r="C595" s="114">
        <v>45830.0</v>
      </c>
      <c r="E595" s="126"/>
      <c r="F595" s="113"/>
      <c r="G595" s="116"/>
      <c r="K595" s="126"/>
      <c r="L595" s="113"/>
      <c r="R595" s="8"/>
    </row>
    <row r="596">
      <c r="A596" s="6" t="s">
        <v>435</v>
      </c>
      <c r="B596" s="6">
        <v>6700.0</v>
      </c>
      <c r="E596" s="6">
        <v>100.0</v>
      </c>
      <c r="F596" s="6" t="s">
        <v>116</v>
      </c>
      <c r="G596" s="116"/>
      <c r="I596" s="35"/>
      <c r="K596" s="126"/>
      <c r="L596" s="113"/>
      <c r="R596" s="8"/>
    </row>
    <row r="597">
      <c r="A597" s="112" t="s">
        <v>186</v>
      </c>
      <c r="B597" s="6">
        <v>145.0</v>
      </c>
      <c r="E597" s="6">
        <v>6700.0</v>
      </c>
      <c r="F597" s="133" t="s">
        <v>436</v>
      </c>
      <c r="G597" s="116"/>
      <c r="K597" s="126"/>
      <c r="L597" s="113"/>
      <c r="R597" s="8"/>
    </row>
    <row r="598">
      <c r="A598" s="6" t="s">
        <v>437</v>
      </c>
      <c r="B598" s="6">
        <v>1100.0</v>
      </c>
      <c r="C598" s="114">
        <v>45831.0</v>
      </c>
      <c r="E598" s="6">
        <v>1100.0</v>
      </c>
      <c r="F598" s="133" t="s">
        <v>437</v>
      </c>
      <c r="G598" s="116"/>
      <c r="K598" s="126"/>
      <c r="L598" s="113"/>
      <c r="R598" s="8"/>
    </row>
    <row r="599">
      <c r="A599" s="112" t="s">
        <v>177</v>
      </c>
      <c r="B599" s="6">
        <v>100.0</v>
      </c>
      <c r="G599" s="116"/>
      <c r="K599" s="126"/>
      <c r="L599" s="113"/>
      <c r="R599" s="8"/>
    </row>
    <row r="600">
      <c r="A600" s="112" t="s">
        <v>186</v>
      </c>
      <c r="B600" s="6">
        <v>380.0</v>
      </c>
      <c r="E600" s="126"/>
      <c r="F600" s="113"/>
      <c r="G600" s="116"/>
      <c r="K600" s="126"/>
      <c r="L600" s="113"/>
      <c r="R600" s="8"/>
    </row>
    <row r="601">
      <c r="A601" s="116"/>
      <c r="C601" s="34"/>
      <c r="E601" s="126"/>
      <c r="F601" s="113"/>
      <c r="G601" s="116"/>
      <c r="I601" s="34"/>
      <c r="K601" s="126"/>
      <c r="L601" s="113"/>
      <c r="R601" s="8"/>
    </row>
    <row r="602">
      <c r="A602" s="112" t="s">
        <v>438</v>
      </c>
      <c r="B602" s="6">
        <v>15500.0</v>
      </c>
      <c r="D602" s="34"/>
      <c r="E602" s="6">
        <v>15500.0</v>
      </c>
      <c r="F602" s="112" t="s">
        <v>438</v>
      </c>
      <c r="G602" s="116"/>
      <c r="J602" s="34"/>
      <c r="K602" s="126"/>
      <c r="L602" s="113"/>
      <c r="R602" s="8"/>
    </row>
    <row r="603">
      <c r="A603" s="112" t="s">
        <v>439</v>
      </c>
      <c r="B603" s="6">
        <v>1500.0</v>
      </c>
      <c r="C603" s="114">
        <v>45833.0</v>
      </c>
      <c r="E603" s="6">
        <v>1500.0</v>
      </c>
      <c r="F603" s="112" t="s">
        <v>439</v>
      </c>
      <c r="G603" s="116"/>
      <c r="K603" s="126"/>
      <c r="L603" s="113"/>
      <c r="R603" s="8"/>
    </row>
    <row r="604">
      <c r="A604" s="112" t="s">
        <v>307</v>
      </c>
      <c r="B604" s="6">
        <v>90.0</v>
      </c>
      <c r="C604" s="34"/>
      <c r="E604" s="126"/>
      <c r="F604" s="113"/>
      <c r="G604" s="116"/>
      <c r="I604" s="34"/>
      <c r="K604" s="126"/>
      <c r="L604" s="113"/>
      <c r="R604" s="8"/>
    </row>
    <row r="605">
      <c r="A605" s="112" t="s">
        <v>186</v>
      </c>
      <c r="B605" s="6">
        <v>210.0</v>
      </c>
      <c r="C605" s="34"/>
      <c r="E605" s="126"/>
      <c r="F605" s="113"/>
      <c r="G605" s="116"/>
      <c r="I605" s="34"/>
      <c r="K605" s="126"/>
      <c r="L605" s="113"/>
      <c r="R605" s="8"/>
    </row>
    <row r="606">
      <c r="A606" s="6" t="s">
        <v>149</v>
      </c>
      <c r="B606" s="6">
        <v>500.0</v>
      </c>
      <c r="C606" s="114">
        <v>45834.0</v>
      </c>
      <c r="E606" s="6">
        <v>500.0</v>
      </c>
      <c r="F606" s="6" t="s">
        <v>149</v>
      </c>
      <c r="G606" s="116"/>
      <c r="K606" s="126"/>
      <c r="L606" s="113"/>
      <c r="R606" s="8"/>
    </row>
    <row r="607">
      <c r="A607" s="6" t="s">
        <v>440</v>
      </c>
      <c r="B607" s="6">
        <v>500.0</v>
      </c>
      <c r="E607" s="6">
        <v>500.0</v>
      </c>
      <c r="F607" s="6" t="s">
        <v>440</v>
      </c>
      <c r="G607" s="116"/>
      <c r="K607" s="126"/>
      <c r="L607" s="113"/>
      <c r="R607" s="8"/>
    </row>
    <row r="608">
      <c r="A608" s="112" t="s">
        <v>431</v>
      </c>
      <c r="B608" s="6">
        <v>50.0</v>
      </c>
      <c r="E608" s="51"/>
      <c r="F608" s="113"/>
      <c r="G608" s="116"/>
      <c r="K608" s="126"/>
      <c r="L608" s="113"/>
      <c r="R608" s="8"/>
    </row>
    <row r="609">
      <c r="A609" s="112" t="s">
        <v>427</v>
      </c>
      <c r="B609" s="6">
        <v>100.0</v>
      </c>
      <c r="E609" s="126"/>
      <c r="F609" s="113"/>
      <c r="G609" s="116"/>
      <c r="K609" s="126"/>
      <c r="L609" s="113"/>
      <c r="R609" s="8"/>
    </row>
    <row r="610">
      <c r="A610" s="112" t="s">
        <v>441</v>
      </c>
      <c r="B610" s="6">
        <v>30.0</v>
      </c>
      <c r="E610" s="126"/>
      <c r="F610" s="113"/>
      <c r="G610" s="116"/>
      <c r="K610" s="126"/>
      <c r="L610" s="113"/>
      <c r="R610" s="8"/>
    </row>
    <row r="611">
      <c r="A611" s="112" t="s">
        <v>442</v>
      </c>
      <c r="B611" s="6">
        <v>20.0</v>
      </c>
      <c r="C611" s="34"/>
      <c r="E611" s="126"/>
      <c r="F611" s="113"/>
      <c r="G611" s="116"/>
      <c r="I611" s="34"/>
      <c r="K611" s="126"/>
      <c r="L611" s="113"/>
      <c r="R611" s="8"/>
    </row>
    <row r="612">
      <c r="A612" s="112" t="s">
        <v>186</v>
      </c>
      <c r="B612" s="6">
        <v>150.0</v>
      </c>
      <c r="E612" s="126"/>
      <c r="F612" s="113"/>
      <c r="G612" s="116"/>
      <c r="K612" s="126"/>
      <c r="L612" s="113"/>
      <c r="R612" s="8"/>
    </row>
    <row r="613">
      <c r="A613" s="112" t="s">
        <v>443</v>
      </c>
      <c r="B613" s="6">
        <v>1500.0</v>
      </c>
      <c r="C613" s="34"/>
      <c r="E613" s="6">
        <v>1500.0</v>
      </c>
      <c r="F613" s="112" t="s">
        <v>443</v>
      </c>
      <c r="G613" s="116"/>
      <c r="I613" s="34"/>
      <c r="K613" s="126"/>
      <c r="L613" s="113"/>
      <c r="R613" s="8"/>
    </row>
    <row r="614">
      <c r="A614" s="112" t="s">
        <v>115</v>
      </c>
      <c r="B614" s="6">
        <v>9890.0</v>
      </c>
      <c r="C614" s="121">
        <v>45835.0</v>
      </c>
      <c r="E614" s="6">
        <v>9890.0</v>
      </c>
      <c r="F614" s="112" t="s">
        <v>115</v>
      </c>
      <c r="G614" s="116"/>
      <c r="I614" s="34"/>
      <c r="K614" s="126"/>
      <c r="L614" s="113"/>
      <c r="R614" s="8"/>
    </row>
    <row r="615">
      <c r="A615" s="112" t="s">
        <v>444</v>
      </c>
      <c r="B615" s="6">
        <v>20.0</v>
      </c>
      <c r="C615" s="34"/>
      <c r="E615" s="126"/>
      <c r="F615" s="113"/>
      <c r="G615" s="116"/>
      <c r="I615" s="34"/>
      <c r="K615" s="126"/>
      <c r="L615" s="113"/>
      <c r="R615" s="8"/>
    </row>
    <row r="616">
      <c r="A616" s="112" t="s">
        <v>186</v>
      </c>
      <c r="B616" s="6">
        <v>50.0</v>
      </c>
      <c r="E616" s="126"/>
      <c r="F616" s="113"/>
      <c r="G616" s="116"/>
      <c r="K616" s="126"/>
      <c r="L616" s="113"/>
      <c r="R616" s="8"/>
    </row>
    <row r="617">
      <c r="A617" s="6" t="s">
        <v>306</v>
      </c>
      <c r="B617" s="6">
        <v>500.0</v>
      </c>
      <c r="C617" s="114">
        <v>45837.0</v>
      </c>
      <c r="G617" s="116"/>
      <c r="K617" s="126"/>
      <c r="L617" s="113"/>
      <c r="R617" s="8"/>
    </row>
    <row r="618">
      <c r="A618" s="112" t="s">
        <v>445</v>
      </c>
      <c r="B618" s="6">
        <v>500.0</v>
      </c>
      <c r="C618" s="121">
        <v>45868.0</v>
      </c>
      <c r="E618" s="6">
        <v>500.0</v>
      </c>
      <c r="F618" s="112" t="s">
        <v>445</v>
      </c>
      <c r="G618" s="116"/>
      <c r="K618" s="126"/>
      <c r="L618" s="113"/>
      <c r="R618" s="8"/>
    </row>
    <row r="619">
      <c r="E619" s="126"/>
      <c r="F619" s="113"/>
      <c r="G619" s="116"/>
      <c r="I619" s="34"/>
      <c r="K619" s="126"/>
      <c r="L619" s="113"/>
      <c r="R619" s="8"/>
    </row>
    <row r="620">
      <c r="E620" s="126"/>
      <c r="F620" s="113"/>
      <c r="G620" s="116"/>
      <c r="K620" s="126"/>
      <c r="L620" s="113"/>
      <c r="R620" s="8"/>
    </row>
    <row r="621">
      <c r="A621" s="116"/>
      <c r="E621" s="126"/>
      <c r="F621" s="113"/>
      <c r="G621" s="116"/>
      <c r="K621" s="126"/>
      <c r="L621" s="113"/>
      <c r="R621" s="8"/>
    </row>
    <row r="622">
      <c r="A622" s="116"/>
      <c r="E622" s="126"/>
      <c r="F622" s="113"/>
      <c r="G622" s="116"/>
      <c r="K622" s="126"/>
      <c r="L622" s="113"/>
      <c r="R622" s="8"/>
    </row>
    <row r="623">
      <c r="G623" s="116"/>
      <c r="I623" s="34"/>
      <c r="K623" s="126"/>
      <c r="L623" s="113"/>
      <c r="R623" s="8"/>
    </row>
    <row r="624">
      <c r="A624" s="116"/>
      <c r="E624" s="126"/>
      <c r="F624" s="113"/>
      <c r="G624" s="116"/>
      <c r="K624" s="126"/>
      <c r="L624" s="113"/>
      <c r="R624" s="8"/>
    </row>
    <row r="625">
      <c r="A625" s="116"/>
      <c r="E625" s="126"/>
      <c r="F625" s="113"/>
      <c r="G625" s="116"/>
      <c r="K625" s="126"/>
      <c r="L625" s="113"/>
      <c r="R625" s="8"/>
    </row>
    <row r="626">
      <c r="A626" s="116"/>
      <c r="E626" s="126"/>
      <c r="F626" s="113"/>
      <c r="G626" s="116"/>
      <c r="K626" s="126"/>
      <c r="L626" s="113"/>
      <c r="R626" s="8"/>
    </row>
    <row r="627">
      <c r="A627" s="116"/>
      <c r="E627" s="126"/>
      <c r="F627" s="113"/>
      <c r="G627" s="116"/>
      <c r="K627" s="126"/>
      <c r="L627" s="113"/>
      <c r="R627" s="8"/>
    </row>
    <row r="628">
      <c r="A628" s="116"/>
      <c r="E628" s="126"/>
      <c r="F628" s="113"/>
      <c r="G628" s="116"/>
      <c r="K628" s="126"/>
      <c r="L628" s="113"/>
      <c r="R628" s="8"/>
    </row>
    <row r="629">
      <c r="A629" s="116"/>
      <c r="C629" s="34"/>
      <c r="E629" s="126"/>
      <c r="F629" s="113"/>
      <c r="G629" s="116"/>
      <c r="I629" s="34"/>
      <c r="K629" s="126"/>
      <c r="L629" s="113"/>
      <c r="R629" s="8"/>
    </row>
    <row r="630">
      <c r="A630" s="116"/>
      <c r="C630" s="52"/>
      <c r="E630" s="126"/>
      <c r="F630" s="113"/>
      <c r="G630" s="116"/>
      <c r="I630" s="52"/>
      <c r="K630" s="126"/>
      <c r="L630" s="113"/>
      <c r="R630" s="8"/>
    </row>
    <row r="631">
      <c r="A631" s="116"/>
      <c r="C631" s="52"/>
      <c r="E631" s="126"/>
      <c r="F631" s="113"/>
      <c r="G631" s="116"/>
      <c r="I631" s="52"/>
      <c r="K631" s="126"/>
      <c r="L631" s="113"/>
      <c r="R631" s="8"/>
    </row>
    <row r="632">
      <c r="A632" s="116"/>
      <c r="C632" s="34"/>
      <c r="E632" s="126"/>
      <c r="F632" s="113"/>
      <c r="G632" s="116"/>
      <c r="I632" s="34"/>
      <c r="K632" s="126"/>
      <c r="L632" s="113"/>
      <c r="R632" s="8"/>
    </row>
    <row r="633">
      <c r="A633" s="116"/>
      <c r="C633" s="52"/>
      <c r="E633" s="126"/>
      <c r="F633" s="113"/>
      <c r="G633" s="116"/>
      <c r="I633" s="52"/>
      <c r="K633" s="126"/>
      <c r="L633" s="113"/>
      <c r="R633" s="8"/>
    </row>
    <row r="634">
      <c r="A634" s="116"/>
      <c r="C634" s="52"/>
      <c r="E634" s="126"/>
      <c r="F634" s="113"/>
      <c r="G634" s="116"/>
      <c r="I634" s="52"/>
      <c r="K634" s="126"/>
      <c r="L634" s="113"/>
      <c r="R634" s="8"/>
    </row>
    <row r="635">
      <c r="A635" s="116"/>
      <c r="E635" s="126"/>
      <c r="F635" s="113"/>
      <c r="G635" s="116"/>
      <c r="H635" s="6">
        <v>1000.0</v>
      </c>
      <c r="K635" s="126"/>
      <c r="L635" s="113"/>
      <c r="R635" s="8"/>
    </row>
    <row r="636">
      <c r="A636" s="134" t="s">
        <v>118</v>
      </c>
      <c r="C636" s="74">
        <f>SUM(B523:B635)</f>
        <v>130570</v>
      </c>
      <c r="D636" s="58" t="s">
        <v>258</v>
      </c>
      <c r="E636" s="107">
        <f>SUM(E523:E635)</f>
        <v>65790</v>
      </c>
      <c r="F636" s="135">
        <f>C636-E636</f>
        <v>64780</v>
      </c>
      <c r="G636" s="134" t="s">
        <v>118</v>
      </c>
      <c r="I636" s="74">
        <f>SUM(H523:H635)</f>
        <v>40310</v>
      </c>
      <c r="J636" s="58" t="s">
        <v>258</v>
      </c>
      <c r="K636" s="107">
        <f>SUM(K523:K635)</f>
        <v>1000</v>
      </c>
      <c r="L636" s="135">
        <f>I636-K636</f>
        <v>39310</v>
      </c>
      <c r="R636" s="8"/>
    </row>
    <row r="637">
      <c r="A637" s="122"/>
      <c r="B637" s="76">
        <f>SUM(B522:B636)</f>
        <v>135890</v>
      </c>
      <c r="F637" s="113"/>
      <c r="G637" s="122"/>
      <c r="H637" s="76">
        <f>SUM(H522:H636)</f>
        <v>40310</v>
      </c>
      <c r="L637" s="113"/>
      <c r="R637" s="8"/>
    </row>
    <row r="638">
      <c r="A638" s="136" t="s">
        <v>119</v>
      </c>
      <c r="B638" s="65">
        <f>B521-B637</f>
        <v>40</v>
      </c>
      <c r="C638" s="6">
        <v>540.0</v>
      </c>
      <c r="F638" s="113"/>
      <c r="G638" s="136" t="s">
        <v>119</v>
      </c>
      <c r="H638" s="65">
        <f>H521-H637</f>
        <v>490</v>
      </c>
      <c r="I638" s="6">
        <v>490.0</v>
      </c>
      <c r="L638" s="113"/>
      <c r="R638" s="8"/>
    </row>
    <row r="639">
      <c r="A639" s="116"/>
      <c r="B639" s="63"/>
      <c r="C639" s="19">
        <f>B638-C638</f>
        <v>-500</v>
      </c>
      <c r="F639" s="113"/>
      <c r="G639" s="116"/>
      <c r="H639" s="63"/>
      <c r="I639" s="19">
        <f>H638-I638</f>
        <v>0</v>
      </c>
      <c r="L639" s="113"/>
      <c r="R639" s="8"/>
    </row>
    <row r="640">
      <c r="A640" s="112" t="s">
        <v>120</v>
      </c>
      <c r="B640" s="103">
        <f>B522</f>
        <v>5320</v>
      </c>
      <c r="F640" s="113"/>
      <c r="G640" s="112" t="s">
        <v>120</v>
      </c>
      <c r="H640" s="103">
        <f>H522</f>
        <v>0</v>
      </c>
      <c r="L640" s="113"/>
      <c r="R640" s="8"/>
    </row>
    <row r="641">
      <c r="A641" s="137"/>
      <c r="B641" s="138"/>
      <c r="C641" s="138"/>
      <c r="D641" s="138"/>
      <c r="E641" s="138"/>
      <c r="F641" s="139"/>
      <c r="G641" s="137"/>
      <c r="H641" s="138"/>
      <c r="I641" s="138"/>
      <c r="J641" s="138"/>
      <c r="K641" s="138"/>
      <c r="L641" s="139"/>
      <c r="R641" s="8"/>
    </row>
    <row r="642">
      <c r="C642" s="52"/>
      <c r="R642" s="8"/>
    </row>
    <row r="643">
      <c r="R643" s="8"/>
    </row>
    <row r="644">
      <c r="A644" s="108" t="s">
        <v>0</v>
      </c>
      <c r="B644" s="109" t="s">
        <v>446</v>
      </c>
      <c r="C644" s="110"/>
      <c r="D644" s="110"/>
      <c r="E644" s="110"/>
      <c r="F644" s="111"/>
      <c r="G644" s="108" t="s">
        <v>0</v>
      </c>
      <c r="H644" s="109" t="s">
        <v>446</v>
      </c>
      <c r="I644" s="110"/>
      <c r="J644" s="110"/>
      <c r="K644" s="110"/>
      <c r="L644" s="111"/>
      <c r="R644" s="8"/>
    </row>
    <row r="645">
      <c r="A645" s="112" t="s">
        <v>2</v>
      </c>
      <c r="B645" s="11" t="s">
        <v>447</v>
      </c>
      <c r="C645" s="12" t="s">
        <v>92</v>
      </c>
      <c r="D645" s="6" t="s">
        <v>54</v>
      </c>
      <c r="F645" s="113"/>
      <c r="G645" s="112" t="s">
        <v>2</v>
      </c>
      <c r="H645" s="11" t="s">
        <v>375</v>
      </c>
      <c r="I645" s="12" t="s">
        <v>92</v>
      </c>
      <c r="J645" s="6" t="s">
        <v>54</v>
      </c>
      <c r="L645" s="113"/>
      <c r="R645" s="8"/>
    </row>
    <row r="646">
      <c r="A646" s="112" t="s">
        <v>6</v>
      </c>
      <c r="B646" s="15">
        <v>11000.0</v>
      </c>
      <c r="C646" s="16">
        <v>5500.0</v>
      </c>
      <c r="D646" s="121">
        <v>45846.0</v>
      </c>
      <c r="F646" s="113"/>
      <c r="G646" s="112" t="s">
        <v>377</v>
      </c>
      <c r="H646" s="15">
        <v>10000.0</v>
      </c>
      <c r="I646" s="16"/>
      <c r="J646" s="34" t="s">
        <v>378</v>
      </c>
      <c r="L646" s="113"/>
      <c r="R646" s="8"/>
    </row>
    <row r="647">
      <c r="A647" s="112" t="s">
        <v>384</v>
      </c>
      <c r="B647" s="15">
        <v>10000.0</v>
      </c>
      <c r="C647" s="16">
        <v>9000.0</v>
      </c>
      <c r="D647" s="99">
        <v>45841.0</v>
      </c>
      <c r="F647" s="113"/>
      <c r="G647" s="6" t="s">
        <v>379</v>
      </c>
      <c r="H647" s="6">
        <v>1000.0</v>
      </c>
      <c r="I647" s="6">
        <v>500.0</v>
      </c>
      <c r="J647" s="114">
        <v>45810.0</v>
      </c>
      <c r="L647" s="113"/>
      <c r="R647" s="8"/>
    </row>
    <row r="648">
      <c r="A648" s="112" t="s">
        <v>4</v>
      </c>
      <c r="B648" s="15">
        <v>10000.0</v>
      </c>
      <c r="C648" s="16">
        <v>6000.0</v>
      </c>
      <c r="D648" s="99">
        <v>45852.0</v>
      </c>
      <c r="F648" s="113"/>
      <c r="G648" s="112" t="s">
        <v>380</v>
      </c>
      <c r="H648" s="15">
        <v>8000.0</v>
      </c>
      <c r="I648" s="16"/>
      <c r="J648" s="99">
        <v>45722.0</v>
      </c>
      <c r="L648" s="113"/>
      <c r="R648" s="8"/>
    </row>
    <row r="649">
      <c r="A649" s="112" t="s">
        <v>64</v>
      </c>
      <c r="B649" s="16">
        <v>9000.0</v>
      </c>
      <c r="C649" s="16">
        <v>7990.0</v>
      </c>
      <c r="D649" s="114"/>
      <c r="F649" s="113"/>
      <c r="G649" s="112" t="s">
        <v>381</v>
      </c>
      <c r="H649" s="15">
        <v>8000.0</v>
      </c>
      <c r="I649" s="16"/>
      <c r="J649" s="115">
        <v>45722.0</v>
      </c>
      <c r="L649" s="113"/>
      <c r="R649" s="8"/>
    </row>
    <row r="650">
      <c r="A650" s="6" t="s">
        <v>82</v>
      </c>
      <c r="B650" s="6">
        <v>5500.0</v>
      </c>
      <c r="C650" s="16"/>
      <c r="D650" s="99">
        <v>45852.0</v>
      </c>
      <c r="F650" s="113"/>
      <c r="G650" s="112" t="s">
        <v>382</v>
      </c>
      <c r="H650" s="16">
        <v>10000.0</v>
      </c>
      <c r="I650" s="16"/>
      <c r="J650" s="114">
        <v>45813.0</v>
      </c>
      <c r="L650" s="113"/>
      <c r="R650" s="8"/>
    </row>
    <row r="651">
      <c r="A651" s="112" t="s">
        <v>269</v>
      </c>
      <c r="B651" s="16" t="s">
        <v>210</v>
      </c>
      <c r="C651" s="16"/>
      <c r="D651" s="114"/>
      <c r="F651" s="113"/>
      <c r="G651" s="112" t="s">
        <v>383</v>
      </c>
      <c r="H651" s="16">
        <v>500.0</v>
      </c>
      <c r="I651" s="16"/>
      <c r="L651" s="113"/>
      <c r="R651" s="8"/>
    </row>
    <row r="652">
      <c r="A652" s="112" t="s">
        <v>388</v>
      </c>
      <c r="B652" s="16" t="s">
        <v>448</v>
      </c>
      <c r="C652" s="16"/>
      <c r="D652" s="114"/>
      <c r="F652" s="113"/>
      <c r="G652" s="112" t="s">
        <v>379</v>
      </c>
      <c r="H652" s="16">
        <v>500.0</v>
      </c>
      <c r="I652" s="16"/>
      <c r="J652" s="114">
        <v>45827.0</v>
      </c>
      <c r="L652" s="113"/>
      <c r="R652" s="8"/>
    </row>
    <row r="653">
      <c r="A653" s="112" t="s">
        <v>165</v>
      </c>
      <c r="B653" s="16">
        <v>10000.0</v>
      </c>
      <c r="C653" s="16">
        <v>6500.0</v>
      </c>
      <c r="D653" s="114"/>
      <c r="F653" s="113"/>
      <c r="G653" s="112" t="s">
        <v>386</v>
      </c>
      <c r="H653" s="16">
        <v>2000.0</v>
      </c>
      <c r="I653" s="16"/>
      <c r="J653" s="114">
        <v>45828.0</v>
      </c>
      <c r="L653" s="113"/>
      <c r="R653" s="8"/>
    </row>
    <row r="654">
      <c r="A654" s="6" t="s">
        <v>10</v>
      </c>
      <c r="B654" s="16">
        <v>9000.0</v>
      </c>
      <c r="C654" s="16"/>
      <c r="F654" s="113"/>
      <c r="G654" s="116"/>
      <c r="H654" s="19"/>
      <c r="I654" s="19"/>
      <c r="L654" s="113"/>
      <c r="R654" s="8"/>
    </row>
    <row r="655">
      <c r="A655" s="112"/>
      <c r="B655" s="16"/>
      <c r="C655" s="16"/>
      <c r="D655" s="114"/>
      <c r="F655" s="117"/>
      <c r="G655" s="116"/>
      <c r="H655" s="16"/>
      <c r="I655" s="16"/>
      <c r="L655" s="117"/>
      <c r="R655" s="8"/>
    </row>
    <row r="656">
      <c r="D656" s="114"/>
      <c r="F656" s="113"/>
      <c r="G656" s="116"/>
      <c r="L656" s="113"/>
      <c r="R656" s="8"/>
    </row>
    <row r="657">
      <c r="D657" s="114"/>
      <c r="F657" s="113"/>
      <c r="G657" s="116"/>
      <c r="L657" s="113"/>
      <c r="R657" s="8"/>
    </row>
    <row r="658">
      <c r="A658" s="112"/>
      <c r="B658" s="16"/>
      <c r="F658" s="113"/>
      <c r="G658" s="116"/>
      <c r="H658" s="16"/>
      <c r="L658" s="113"/>
      <c r="R658" s="8"/>
    </row>
    <row r="659">
      <c r="A659" s="116"/>
      <c r="B659" s="16">
        <v>60.0</v>
      </c>
      <c r="C659" s="19"/>
      <c r="F659" s="113"/>
      <c r="G659" s="116"/>
      <c r="H659" s="16"/>
      <c r="I659" s="19"/>
      <c r="L659" s="113"/>
      <c r="R659" s="8"/>
    </row>
    <row r="660">
      <c r="A660" s="116"/>
      <c r="B660" s="6">
        <v>569.0</v>
      </c>
      <c r="C660" s="16">
        <v>169.0</v>
      </c>
      <c r="F660" s="113"/>
      <c r="G660" s="116"/>
      <c r="I660" s="19"/>
      <c r="L660" s="113"/>
      <c r="R660" s="8"/>
    </row>
    <row r="661">
      <c r="A661" s="112" t="s">
        <v>277</v>
      </c>
      <c r="B661" s="15">
        <v>4500.0</v>
      </c>
      <c r="C661" s="16">
        <v>4500.0</v>
      </c>
      <c r="F661" s="113"/>
      <c r="G661" s="112" t="s">
        <v>277</v>
      </c>
      <c r="H661" s="16">
        <v>300.0</v>
      </c>
      <c r="I661" s="19"/>
      <c r="L661" s="113"/>
      <c r="R661" s="8"/>
    </row>
    <row r="662">
      <c r="A662" s="118" t="s">
        <v>19</v>
      </c>
      <c r="B662" s="64"/>
      <c r="C662" s="84">
        <f>SUM(C646:C661)</f>
        <v>39659</v>
      </c>
      <c r="F662" s="113"/>
      <c r="G662" s="118" t="s">
        <v>19</v>
      </c>
      <c r="H662" s="64">
        <v>500.0</v>
      </c>
      <c r="I662" s="84">
        <f>SUM(I646:I661)</f>
        <v>500</v>
      </c>
      <c r="L662" s="113"/>
      <c r="R662" s="8"/>
    </row>
    <row r="663">
      <c r="A663" s="119" t="s">
        <v>20</v>
      </c>
      <c r="B663" s="65">
        <f>SUM(B646:B662)</f>
        <v>69629</v>
      </c>
      <c r="F663" s="113"/>
      <c r="G663" s="119" t="s">
        <v>20</v>
      </c>
      <c r="H663" s="65">
        <f>SUM(H646:H662)</f>
        <v>40800</v>
      </c>
      <c r="L663" s="113"/>
      <c r="R663" s="8"/>
    </row>
    <row r="664">
      <c r="A664" s="112" t="s">
        <v>92</v>
      </c>
      <c r="B664" s="31">
        <f>C662-E778</f>
        <v>5343</v>
      </c>
      <c r="F664" s="113"/>
      <c r="G664" s="112" t="s">
        <v>92</v>
      </c>
      <c r="H664" s="31">
        <f>H662+I662-K778</f>
        <v>0</v>
      </c>
      <c r="L664" s="113"/>
      <c r="R664" s="8"/>
    </row>
    <row r="665">
      <c r="A665" s="112" t="s">
        <v>93</v>
      </c>
      <c r="B665" s="6">
        <v>13.0</v>
      </c>
      <c r="F665" s="113"/>
      <c r="G665" s="112" t="s">
        <v>93</v>
      </c>
      <c r="H665" s="15"/>
      <c r="L665" s="113"/>
      <c r="R665" s="8"/>
    </row>
    <row r="666">
      <c r="A666" s="120" t="s">
        <v>278</v>
      </c>
      <c r="B666" s="16">
        <v>9500.0</v>
      </c>
      <c r="C666" s="140">
        <v>45852.0</v>
      </c>
      <c r="F666" s="113"/>
      <c r="G666" s="120" t="s">
        <v>278</v>
      </c>
      <c r="H666" s="31"/>
      <c r="I666" s="34"/>
      <c r="L666" s="113"/>
      <c r="R666" s="8"/>
    </row>
    <row r="667">
      <c r="A667" s="120" t="s">
        <v>24</v>
      </c>
      <c r="B667" s="6">
        <v>8000.0</v>
      </c>
      <c r="C667" s="140">
        <v>45856.0</v>
      </c>
      <c r="E667" s="36"/>
      <c r="F667" s="113"/>
      <c r="G667" s="120"/>
      <c r="H667" s="36"/>
      <c r="I667" s="34"/>
      <c r="K667" s="36"/>
      <c r="L667" s="113"/>
      <c r="R667" s="8"/>
    </row>
    <row r="668">
      <c r="A668" s="112" t="s">
        <v>449</v>
      </c>
      <c r="B668" s="6">
        <v>500.0</v>
      </c>
      <c r="C668" s="99"/>
      <c r="F668" s="113"/>
      <c r="G668" s="120"/>
      <c r="H668" s="36"/>
      <c r="I668" s="35"/>
      <c r="L668" s="113"/>
      <c r="R668" s="8"/>
    </row>
    <row r="669">
      <c r="A669" s="6" t="s">
        <v>34</v>
      </c>
      <c r="B669" s="6">
        <v>100.0</v>
      </c>
      <c r="F669" s="113"/>
      <c r="G669" s="120"/>
      <c r="H669" s="31"/>
      <c r="I669" s="35"/>
      <c r="L669" s="113"/>
      <c r="R669" s="8"/>
    </row>
    <row r="670">
      <c r="A670" s="6" t="s">
        <v>34</v>
      </c>
      <c r="B670" s="6">
        <v>100.0</v>
      </c>
      <c r="E670" s="40"/>
      <c r="F670" s="113"/>
      <c r="G670" s="120"/>
      <c r="H670" s="36"/>
      <c r="I670" s="35"/>
      <c r="K670" s="40"/>
      <c r="L670" s="113"/>
      <c r="R670" s="8"/>
    </row>
    <row r="671">
      <c r="A671" s="112" t="s">
        <v>34</v>
      </c>
      <c r="B671" s="6">
        <v>20.0</v>
      </c>
      <c r="C671" s="114"/>
      <c r="E671" s="40"/>
      <c r="F671" s="113"/>
      <c r="G671" s="120"/>
      <c r="H671" s="36"/>
      <c r="I671" s="34"/>
      <c r="K671" s="40"/>
      <c r="L671" s="113"/>
      <c r="R671" s="8"/>
    </row>
    <row r="672">
      <c r="A672" s="6" t="s">
        <v>34</v>
      </c>
      <c r="B672" s="6">
        <v>300.0</v>
      </c>
      <c r="C672" s="114">
        <v>45850.0</v>
      </c>
      <c r="E672" s="40"/>
      <c r="F672" s="113"/>
      <c r="G672" s="120"/>
      <c r="H672" s="36"/>
      <c r="I672" s="34"/>
      <c r="K672" s="40"/>
      <c r="L672" s="113"/>
      <c r="R672" s="8"/>
    </row>
    <row r="673">
      <c r="A673" s="122" t="s">
        <v>34</v>
      </c>
      <c r="B673" s="6">
        <v>150.0</v>
      </c>
      <c r="C673" s="114">
        <v>45860.0</v>
      </c>
      <c r="F673" s="113"/>
      <c r="G673" s="120"/>
      <c r="H673" s="36"/>
      <c r="I673" s="34"/>
      <c r="L673" s="113"/>
      <c r="R673" s="8"/>
    </row>
    <row r="674">
      <c r="A674" s="102" t="s">
        <v>450</v>
      </c>
      <c r="B674" s="6">
        <v>200.0</v>
      </c>
      <c r="C674" s="114">
        <v>45862.0</v>
      </c>
      <c r="F674" s="113"/>
      <c r="G674" s="120"/>
      <c r="H674" s="36"/>
      <c r="I674" s="35"/>
      <c r="L674" s="113"/>
      <c r="R674" s="8"/>
    </row>
    <row r="675">
      <c r="A675" s="102" t="s">
        <v>451</v>
      </c>
      <c r="B675" s="6">
        <v>100.0</v>
      </c>
      <c r="C675" s="114">
        <v>45862.0</v>
      </c>
      <c r="D675" s="35"/>
      <c r="E675" s="36"/>
      <c r="F675" s="113"/>
      <c r="G675" s="120"/>
      <c r="H675" s="36"/>
      <c r="I675" s="34"/>
      <c r="J675" s="35"/>
      <c r="K675" s="36"/>
      <c r="L675" s="113"/>
      <c r="R675" s="8"/>
    </row>
    <row r="676">
      <c r="A676" s="122" t="s">
        <v>452</v>
      </c>
      <c r="B676" s="6">
        <v>20.0</v>
      </c>
      <c r="C676" s="114">
        <v>45864.0</v>
      </c>
      <c r="E676" s="36"/>
      <c r="F676" s="113"/>
      <c r="G676" s="124"/>
      <c r="H676" s="36"/>
      <c r="I676" s="34"/>
      <c r="K676" s="36"/>
      <c r="L676" s="113"/>
      <c r="R676" s="8"/>
    </row>
    <row r="677">
      <c r="A677" s="122" t="s">
        <v>34</v>
      </c>
      <c r="B677" s="6">
        <v>40.0</v>
      </c>
      <c r="C677" s="114">
        <v>45864.0</v>
      </c>
      <c r="E677" s="40"/>
      <c r="F677" s="113"/>
      <c r="G677" s="120"/>
      <c r="H677" s="36"/>
      <c r="I677" s="34"/>
      <c r="K677" s="40"/>
      <c r="L677" s="113"/>
      <c r="R677" s="8"/>
    </row>
    <row r="678">
      <c r="A678" s="102" t="s">
        <v>34</v>
      </c>
      <c r="B678" s="6">
        <v>30.0</v>
      </c>
      <c r="E678" s="40"/>
      <c r="F678" s="113"/>
      <c r="G678" s="120" t="s">
        <v>283</v>
      </c>
      <c r="I678" s="36"/>
      <c r="K678" s="40"/>
      <c r="L678" s="113"/>
      <c r="R678" s="8"/>
    </row>
    <row r="679">
      <c r="A679" s="122"/>
      <c r="D679" s="99"/>
      <c r="F679" s="113"/>
      <c r="G679" s="125"/>
      <c r="H679" s="99"/>
      <c r="J679" s="99"/>
      <c r="L679" s="113"/>
      <c r="R679" s="8"/>
    </row>
    <row r="680">
      <c r="A680" s="102"/>
      <c r="C680" s="114"/>
      <c r="F680" s="113"/>
      <c r="G680" s="116"/>
      <c r="L680" s="113"/>
      <c r="R680" s="8"/>
    </row>
    <row r="681">
      <c r="A681" s="122"/>
      <c r="G681" s="112" t="s">
        <v>172</v>
      </c>
      <c r="H681" s="6">
        <v>10000.0</v>
      </c>
      <c r="I681" s="34" t="s">
        <v>402</v>
      </c>
      <c r="L681" s="113"/>
      <c r="R681" s="8"/>
    </row>
    <row r="682">
      <c r="A682" s="122"/>
      <c r="G682" s="112" t="s">
        <v>186</v>
      </c>
      <c r="H682" s="6">
        <v>250.0</v>
      </c>
      <c r="K682" s="126"/>
      <c r="L682" s="113"/>
      <c r="R682" s="8"/>
    </row>
    <row r="683">
      <c r="B683" s="6" t="s">
        <v>453</v>
      </c>
      <c r="C683" s="141">
        <f>SUM(B666:B682)</f>
        <v>19060</v>
      </c>
      <c r="G683" s="112" t="s">
        <v>186</v>
      </c>
      <c r="H683" s="6">
        <v>300.0</v>
      </c>
      <c r="I683" s="99">
        <v>45694.0</v>
      </c>
      <c r="K683" s="126"/>
      <c r="L683" s="113"/>
      <c r="R683" s="8"/>
    </row>
    <row r="684">
      <c r="G684" s="112" t="s">
        <v>405</v>
      </c>
      <c r="H684" s="6">
        <v>700.0</v>
      </c>
      <c r="I684" s="99">
        <v>45722.0</v>
      </c>
      <c r="J684" s="35"/>
      <c r="K684" s="127"/>
      <c r="L684" s="113"/>
      <c r="R684" s="8"/>
    </row>
    <row r="685">
      <c r="A685" s="79" t="s">
        <v>454</v>
      </c>
      <c r="G685" s="112" t="s">
        <v>186</v>
      </c>
      <c r="H685" s="6">
        <v>300.0</v>
      </c>
      <c r="K685" s="128"/>
      <c r="L685" s="113"/>
      <c r="R685" s="8"/>
    </row>
    <row r="686">
      <c r="A686" s="112" t="s">
        <v>455</v>
      </c>
      <c r="B686" s="6">
        <v>215.0</v>
      </c>
      <c r="C686" s="114">
        <v>45839.0</v>
      </c>
      <c r="E686" s="126"/>
      <c r="F686" s="113"/>
      <c r="G686" s="112" t="s">
        <v>177</v>
      </c>
      <c r="H686" s="6">
        <v>150.0</v>
      </c>
      <c r="J686" s="35"/>
      <c r="K686" s="127"/>
      <c r="L686" s="113"/>
      <c r="R686" s="8"/>
    </row>
    <row r="687">
      <c r="A687" s="112" t="s">
        <v>445</v>
      </c>
      <c r="B687" s="6">
        <v>200.0</v>
      </c>
      <c r="E687" s="6">
        <v>215.0</v>
      </c>
      <c r="F687" s="112" t="s">
        <v>455</v>
      </c>
      <c r="G687" s="112" t="s">
        <v>379</v>
      </c>
      <c r="H687" s="6">
        <v>15000.0</v>
      </c>
      <c r="I687" s="99"/>
      <c r="K687" s="126"/>
      <c r="L687" s="113"/>
      <c r="R687" s="8"/>
    </row>
    <row r="688">
      <c r="A688" s="112" t="s">
        <v>445</v>
      </c>
      <c r="B688" s="6">
        <v>500.0</v>
      </c>
      <c r="C688" s="99"/>
      <c r="E688" s="6">
        <v>200.0</v>
      </c>
      <c r="F688" s="112" t="s">
        <v>445</v>
      </c>
      <c r="G688" s="112" t="s">
        <v>406</v>
      </c>
      <c r="H688" s="6">
        <v>150.0</v>
      </c>
      <c r="I688" s="114">
        <v>45812.0</v>
      </c>
      <c r="K688" s="127"/>
      <c r="L688" s="113"/>
      <c r="R688" s="8"/>
    </row>
    <row r="689">
      <c r="A689" s="6" t="s">
        <v>456</v>
      </c>
      <c r="B689" s="6">
        <v>200.0</v>
      </c>
      <c r="C689" s="114">
        <v>45846.0</v>
      </c>
      <c r="D689" s="35"/>
      <c r="E689" s="6">
        <v>40.0</v>
      </c>
      <c r="F689" s="112" t="s">
        <v>457</v>
      </c>
      <c r="G689" s="112" t="s">
        <v>186</v>
      </c>
      <c r="H689" s="6">
        <v>200.0</v>
      </c>
      <c r="J689" s="35"/>
      <c r="K689" s="127"/>
      <c r="L689" s="113"/>
      <c r="R689" s="8"/>
    </row>
    <row r="690">
      <c r="A690" s="112" t="s">
        <v>306</v>
      </c>
      <c r="B690" s="6">
        <v>200.0</v>
      </c>
      <c r="C690" s="114">
        <v>45848.0</v>
      </c>
      <c r="E690" s="6">
        <v>500.0</v>
      </c>
      <c r="F690" s="112" t="s">
        <v>186</v>
      </c>
      <c r="G690" s="129" t="s">
        <v>379</v>
      </c>
      <c r="H690" s="6">
        <v>9500.0</v>
      </c>
      <c r="I690" s="99">
        <v>45813.0</v>
      </c>
      <c r="K690" s="128"/>
      <c r="L690" s="113"/>
      <c r="R690" s="8"/>
    </row>
    <row r="691">
      <c r="A691" s="112" t="s">
        <v>458</v>
      </c>
      <c r="B691" s="6">
        <v>1000.0</v>
      </c>
      <c r="C691" s="114">
        <v>45848.0</v>
      </c>
      <c r="D691" s="35"/>
      <c r="E691" s="6">
        <v>35.0</v>
      </c>
      <c r="F691" s="112" t="s">
        <v>409</v>
      </c>
      <c r="G691" s="112" t="s">
        <v>186</v>
      </c>
      <c r="H691" s="6">
        <v>170.0</v>
      </c>
      <c r="I691" s="40"/>
      <c r="K691" s="128"/>
      <c r="L691" s="113"/>
      <c r="R691" s="8"/>
    </row>
    <row r="692">
      <c r="A692" s="112" t="s">
        <v>456</v>
      </c>
      <c r="B692" s="6">
        <v>500.0</v>
      </c>
      <c r="E692" s="6">
        <v>500.0</v>
      </c>
      <c r="F692" s="112" t="s">
        <v>445</v>
      </c>
      <c r="G692" s="112" t="s">
        <v>34</v>
      </c>
      <c r="H692" s="36">
        <v>20.0</v>
      </c>
      <c r="J692" s="34"/>
      <c r="K692" s="128"/>
      <c r="L692" s="113"/>
      <c r="R692" s="8"/>
    </row>
    <row r="693">
      <c r="A693" s="112" t="s">
        <v>334</v>
      </c>
      <c r="B693" s="6">
        <v>100.0</v>
      </c>
      <c r="C693" s="114">
        <v>45849.0</v>
      </c>
      <c r="E693" s="6">
        <v>300.0</v>
      </c>
      <c r="F693" s="112" t="s">
        <v>186</v>
      </c>
      <c r="G693" s="112" t="s">
        <v>409</v>
      </c>
      <c r="H693" s="36">
        <v>80.0</v>
      </c>
      <c r="I693" s="35"/>
      <c r="J693" s="34" t="s">
        <v>410</v>
      </c>
      <c r="K693" s="51">
        <v>500.0</v>
      </c>
      <c r="L693" s="113"/>
      <c r="R693" s="8"/>
    </row>
    <row r="694">
      <c r="A694" s="112" t="s">
        <v>149</v>
      </c>
      <c r="B694" s="6">
        <v>200.0</v>
      </c>
      <c r="D694" s="35"/>
      <c r="E694" s="6">
        <v>500.0</v>
      </c>
      <c r="F694" s="112" t="s">
        <v>459</v>
      </c>
      <c r="G694" s="112" t="s">
        <v>227</v>
      </c>
      <c r="H694" s="6">
        <v>50.0</v>
      </c>
      <c r="I694" s="35"/>
      <c r="L694" s="113"/>
      <c r="R694" s="8"/>
    </row>
    <row r="695">
      <c r="A695" s="6" t="s">
        <v>460</v>
      </c>
      <c r="B695" s="6">
        <v>40.0</v>
      </c>
      <c r="E695" s="6">
        <v>49.0</v>
      </c>
      <c r="F695" s="129" t="s">
        <v>409</v>
      </c>
      <c r="G695" s="112" t="s">
        <v>411</v>
      </c>
      <c r="H695" s="36">
        <v>100.0</v>
      </c>
      <c r="K695" s="128"/>
      <c r="L695" s="113"/>
      <c r="R695" s="8"/>
    </row>
    <row r="696">
      <c r="A696" s="6" t="s">
        <v>306</v>
      </c>
      <c r="B696" s="6">
        <v>200.0</v>
      </c>
      <c r="C696" s="114">
        <v>45851.0</v>
      </c>
      <c r="E696" s="6">
        <v>2000.0</v>
      </c>
      <c r="F696" s="112" t="s">
        <v>461</v>
      </c>
      <c r="G696" s="112" t="s">
        <v>186</v>
      </c>
      <c r="H696" s="36">
        <v>300.0</v>
      </c>
      <c r="I696" s="6" t="s">
        <v>413</v>
      </c>
      <c r="J696" s="52"/>
      <c r="K696" s="127"/>
      <c r="L696" s="113"/>
      <c r="R696" s="8"/>
    </row>
    <row r="697">
      <c r="A697" s="6" t="s">
        <v>148</v>
      </c>
      <c r="B697" s="6">
        <v>2000.0</v>
      </c>
      <c r="C697" s="114">
        <v>45852.0</v>
      </c>
      <c r="D697" s="34"/>
      <c r="E697" s="127"/>
      <c r="F697" s="113"/>
      <c r="G697" s="112" t="s">
        <v>379</v>
      </c>
      <c r="H697" s="6">
        <v>50.0</v>
      </c>
      <c r="J697" s="114">
        <v>45825.0</v>
      </c>
      <c r="K697" s="127">
        <v>500.0</v>
      </c>
      <c r="L697" s="113"/>
      <c r="R697" s="8"/>
    </row>
    <row r="698">
      <c r="A698" s="6" t="s">
        <v>334</v>
      </c>
      <c r="B698" s="6">
        <v>200.0</v>
      </c>
      <c r="D698" s="34"/>
      <c r="E698" s="126"/>
      <c r="F698" s="113"/>
      <c r="H698" s="6">
        <v>100.0</v>
      </c>
      <c r="I698" s="105"/>
      <c r="K698" s="127"/>
      <c r="L698" s="113"/>
      <c r="R698" s="8"/>
    </row>
    <row r="699">
      <c r="A699" s="112" t="s">
        <v>306</v>
      </c>
      <c r="B699" s="6">
        <v>200.0</v>
      </c>
      <c r="E699" s="128"/>
      <c r="F699" s="113"/>
      <c r="G699" s="112" t="s">
        <v>186</v>
      </c>
      <c r="H699" s="36">
        <v>580.0</v>
      </c>
      <c r="I699" s="34"/>
      <c r="K699" s="128"/>
      <c r="L699" s="113"/>
      <c r="R699" s="8"/>
    </row>
    <row r="700">
      <c r="A700" s="6" t="s">
        <v>306</v>
      </c>
      <c r="B700" s="6">
        <v>200.0</v>
      </c>
      <c r="C700" s="114">
        <v>45857.0</v>
      </c>
      <c r="E700" s="128"/>
      <c r="F700" s="113"/>
      <c r="G700" s="112" t="s">
        <v>180</v>
      </c>
      <c r="H700" s="6">
        <v>500.0</v>
      </c>
      <c r="I700" s="35"/>
      <c r="K700" s="128"/>
      <c r="L700" s="113"/>
      <c r="R700" s="8"/>
    </row>
    <row r="701">
      <c r="A701" s="6" t="s">
        <v>306</v>
      </c>
      <c r="B701" s="6">
        <v>450.0</v>
      </c>
      <c r="C701" s="114">
        <v>45858.0</v>
      </c>
      <c r="D701" s="52"/>
      <c r="E701" s="127"/>
      <c r="F701" s="113"/>
      <c r="G701" s="112" t="s">
        <v>416</v>
      </c>
      <c r="H701" s="6">
        <v>170.0</v>
      </c>
      <c r="J701" s="35"/>
      <c r="K701" s="127"/>
      <c r="L701" s="113"/>
      <c r="R701" s="8"/>
    </row>
    <row r="702">
      <c r="A702" s="6" t="s">
        <v>306</v>
      </c>
      <c r="B702" s="6">
        <v>200.0</v>
      </c>
      <c r="C702" s="114">
        <v>45859.0</v>
      </c>
      <c r="E702" s="128"/>
      <c r="F702" s="113"/>
      <c r="G702" s="112" t="s">
        <v>371</v>
      </c>
      <c r="H702" s="6">
        <v>390.0</v>
      </c>
      <c r="K702" s="127"/>
      <c r="L702" s="113"/>
      <c r="R702" s="8"/>
    </row>
    <row r="703">
      <c r="A703" s="6" t="s">
        <v>462</v>
      </c>
      <c r="B703" s="6">
        <v>1000.0</v>
      </c>
      <c r="E703" s="128"/>
      <c r="F703" s="113"/>
      <c r="G703" s="6" t="s">
        <v>418</v>
      </c>
      <c r="H703" s="6">
        <v>75.0</v>
      </c>
      <c r="I703" s="34"/>
      <c r="K703" s="127"/>
      <c r="L703" s="113"/>
      <c r="R703" s="8"/>
    </row>
    <row r="704">
      <c r="A704" s="6" t="s">
        <v>306</v>
      </c>
      <c r="B704" s="6">
        <v>400.0</v>
      </c>
      <c r="C704" s="114">
        <v>45860.0</v>
      </c>
      <c r="E704" s="127">
        <v>1000.0</v>
      </c>
      <c r="F704" s="113"/>
      <c r="G704" s="6" t="s">
        <v>419</v>
      </c>
      <c r="H704" s="6">
        <v>25.0</v>
      </c>
      <c r="I704" s="34"/>
      <c r="K704" s="127"/>
      <c r="L704" s="113"/>
      <c r="R704" s="8"/>
    </row>
    <row r="705">
      <c r="A705" s="6" t="s">
        <v>306</v>
      </c>
      <c r="B705" s="6">
        <v>200.0</v>
      </c>
      <c r="C705" s="114">
        <v>45861.0</v>
      </c>
      <c r="E705" s="127">
        <v>500.0</v>
      </c>
      <c r="F705" s="113"/>
      <c r="G705" s="112" t="s">
        <v>186</v>
      </c>
      <c r="H705" s="6">
        <v>150.0</v>
      </c>
      <c r="I705" s="114">
        <v>45828.0</v>
      </c>
      <c r="K705" s="128"/>
      <c r="L705" s="113"/>
      <c r="R705" s="8"/>
    </row>
    <row r="706">
      <c r="A706" s="6" t="s">
        <v>334</v>
      </c>
      <c r="B706" s="6">
        <v>200.0</v>
      </c>
      <c r="C706" s="114">
        <v>45862.0</v>
      </c>
      <c r="G706" s="116"/>
      <c r="H706" s="36"/>
      <c r="I706" s="114">
        <v>45829.0</v>
      </c>
      <c r="K706" s="128"/>
      <c r="L706" s="113"/>
      <c r="R706" s="8"/>
    </row>
    <row r="707">
      <c r="A707" s="6" t="s">
        <v>306</v>
      </c>
      <c r="B707" s="6">
        <v>150.0</v>
      </c>
      <c r="C707" s="114">
        <v>45863.0</v>
      </c>
      <c r="G707" s="116"/>
      <c r="I707" s="34"/>
      <c r="K707" s="128"/>
      <c r="L707" s="113"/>
      <c r="R707" s="8"/>
    </row>
    <row r="708">
      <c r="A708" s="6" t="s">
        <v>306</v>
      </c>
      <c r="B708" s="6">
        <v>260.0</v>
      </c>
      <c r="C708" s="114">
        <v>45864.0</v>
      </c>
      <c r="G708" s="116"/>
      <c r="J708" s="34"/>
      <c r="K708" s="127"/>
      <c r="L708" s="113"/>
      <c r="R708" s="8"/>
    </row>
    <row r="709">
      <c r="A709" s="6" t="s">
        <v>306</v>
      </c>
      <c r="B709" s="6">
        <v>1200.0</v>
      </c>
      <c r="C709" s="114">
        <v>45865.0</v>
      </c>
      <c r="G709" s="116"/>
      <c r="I709" s="105"/>
      <c r="J709" s="34"/>
      <c r="K709" s="126"/>
      <c r="L709" s="113"/>
      <c r="R709" s="8"/>
    </row>
    <row r="710">
      <c r="G710" s="116"/>
      <c r="K710" s="126"/>
      <c r="L710" s="113"/>
      <c r="R710" s="8"/>
    </row>
    <row r="711">
      <c r="G711" s="116"/>
      <c r="K711" s="126"/>
      <c r="L711" s="113"/>
      <c r="R711" s="8"/>
    </row>
    <row r="712">
      <c r="G712" s="116"/>
      <c r="K712" s="127"/>
      <c r="L712" s="113"/>
      <c r="R712" s="8"/>
    </row>
    <row r="713">
      <c r="G713" s="116"/>
      <c r="I713" s="34"/>
      <c r="K713" s="126"/>
      <c r="L713" s="113"/>
      <c r="R713" s="8"/>
    </row>
    <row r="714">
      <c r="B714" s="6" t="s">
        <v>453</v>
      </c>
      <c r="C714" s="142">
        <f>SUM(B686:B713)</f>
        <v>10015</v>
      </c>
      <c r="D714" s="35"/>
      <c r="G714" s="116"/>
      <c r="K714" s="126"/>
      <c r="L714" s="113"/>
      <c r="R714" s="8"/>
    </row>
    <row r="715">
      <c r="A715" s="79" t="s">
        <v>463</v>
      </c>
      <c r="G715" s="116"/>
      <c r="I715" s="34"/>
      <c r="J715" s="34"/>
      <c r="K715" s="126"/>
      <c r="L715" s="113"/>
      <c r="R715" s="8"/>
    </row>
    <row r="716">
      <c r="A716" s="112" t="s">
        <v>459</v>
      </c>
      <c r="B716" s="6">
        <v>500.0</v>
      </c>
      <c r="C716" s="130"/>
      <c r="G716" s="116"/>
      <c r="K716" s="126"/>
      <c r="L716" s="113"/>
      <c r="R716" s="8"/>
    </row>
    <row r="717">
      <c r="A717" s="6" t="s">
        <v>278</v>
      </c>
      <c r="B717" s="6">
        <v>700.0</v>
      </c>
      <c r="C717" s="35"/>
      <c r="E717" s="127"/>
      <c r="F717" s="113"/>
      <c r="G717" s="116"/>
      <c r="K717" s="126"/>
      <c r="L717" s="113"/>
      <c r="R717" s="8"/>
    </row>
    <row r="718">
      <c r="A718" s="112" t="s">
        <v>461</v>
      </c>
      <c r="B718" s="6">
        <v>1500.0</v>
      </c>
      <c r="C718" s="35"/>
      <c r="E718" s="127"/>
      <c r="F718" s="113"/>
      <c r="G718" s="116"/>
      <c r="I718" s="35"/>
      <c r="K718" s="126"/>
      <c r="L718" s="113"/>
      <c r="R718" s="8"/>
    </row>
    <row r="719">
      <c r="A719" s="112" t="s">
        <v>464</v>
      </c>
      <c r="B719" s="16">
        <v>2100.0</v>
      </c>
      <c r="G719" s="116"/>
      <c r="K719" s="126"/>
      <c r="L719" s="113"/>
      <c r="R719" s="8"/>
    </row>
    <row r="720">
      <c r="A720" s="112" t="s">
        <v>177</v>
      </c>
      <c r="B720" s="6">
        <v>750.0</v>
      </c>
      <c r="C720" s="121"/>
      <c r="E720" s="126"/>
      <c r="F720" s="113"/>
      <c r="G720" s="116"/>
      <c r="J720" s="34"/>
      <c r="K720" s="126"/>
      <c r="L720" s="113"/>
      <c r="R720" s="8"/>
    </row>
    <row r="721">
      <c r="A721" s="112" t="s">
        <v>465</v>
      </c>
      <c r="B721" s="6">
        <v>837.0</v>
      </c>
      <c r="C721" s="35"/>
      <c r="E721" s="126"/>
      <c r="F721" s="113"/>
      <c r="G721" s="116"/>
      <c r="I721" s="35"/>
      <c r="K721" s="126"/>
      <c r="L721" s="113"/>
      <c r="R721" s="8"/>
    </row>
    <row r="722">
      <c r="A722" s="6" t="s">
        <v>428</v>
      </c>
      <c r="B722" s="6">
        <v>1600.0</v>
      </c>
      <c r="C722" s="114">
        <v>45855.0</v>
      </c>
      <c r="E722" s="126"/>
      <c r="F722" s="113"/>
      <c r="G722" s="116"/>
      <c r="K722" s="126"/>
      <c r="L722" s="113"/>
      <c r="R722" s="8"/>
    </row>
    <row r="723">
      <c r="A723" s="6" t="s">
        <v>466</v>
      </c>
      <c r="B723" s="6">
        <v>780.0</v>
      </c>
      <c r="D723" s="34"/>
      <c r="E723" s="126"/>
      <c r="F723" s="113"/>
      <c r="G723" s="116"/>
      <c r="K723" s="126"/>
      <c r="L723" s="113"/>
      <c r="R723" s="8"/>
    </row>
    <row r="724">
      <c r="A724" s="6" t="s">
        <v>467</v>
      </c>
      <c r="B724" s="6">
        <v>50.0</v>
      </c>
      <c r="F724" s="113"/>
      <c r="G724" s="116"/>
      <c r="K724" s="126"/>
      <c r="L724" s="113"/>
      <c r="R724" s="8"/>
    </row>
    <row r="725">
      <c r="A725" s="6" t="s">
        <v>307</v>
      </c>
      <c r="B725" s="6">
        <v>50.0</v>
      </c>
      <c r="D725" s="114"/>
      <c r="E725" s="6">
        <v>1737.0</v>
      </c>
      <c r="F725" s="112"/>
      <c r="G725" s="116"/>
      <c r="K725" s="126"/>
      <c r="L725" s="113"/>
      <c r="R725" s="8"/>
    </row>
    <row r="726">
      <c r="A726" s="6" t="s">
        <v>331</v>
      </c>
      <c r="B726" s="6">
        <v>130.0</v>
      </c>
      <c r="E726" s="126"/>
      <c r="F726" s="113"/>
      <c r="G726" s="116"/>
      <c r="J726" s="34"/>
      <c r="K726" s="126"/>
      <c r="L726" s="113"/>
      <c r="R726" s="8"/>
    </row>
    <row r="727">
      <c r="A727" s="6" t="s">
        <v>177</v>
      </c>
      <c r="B727" s="6">
        <v>200.0</v>
      </c>
      <c r="E727" s="79"/>
      <c r="G727" s="116"/>
      <c r="K727" s="126"/>
      <c r="L727" s="113"/>
      <c r="R727" s="8"/>
    </row>
    <row r="728">
      <c r="A728" s="6" t="s">
        <v>177</v>
      </c>
      <c r="B728" s="6">
        <v>830.0</v>
      </c>
      <c r="G728" s="116"/>
      <c r="K728" s="126"/>
      <c r="L728" s="113"/>
      <c r="R728" s="8"/>
    </row>
    <row r="729">
      <c r="A729" s="6" t="s">
        <v>468</v>
      </c>
      <c r="B729" s="6">
        <v>100.0</v>
      </c>
      <c r="G729" s="116"/>
      <c r="I729" s="105"/>
      <c r="K729" s="126"/>
      <c r="L729" s="113"/>
      <c r="R729" s="8"/>
    </row>
    <row r="730">
      <c r="A730" s="6" t="s">
        <v>469</v>
      </c>
      <c r="B730" s="6">
        <v>230.0</v>
      </c>
      <c r="G730" s="116"/>
      <c r="K730" s="126"/>
      <c r="L730" s="113"/>
      <c r="R730" s="8"/>
    </row>
    <row r="731">
      <c r="A731" s="6" t="s">
        <v>427</v>
      </c>
      <c r="B731" s="6">
        <v>60.0</v>
      </c>
      <c r="E731" s="6">
        <v>2000.0</v>
      </c>
      <c r="G731" s="116"/>
      <c r="K731" s="126"/>
      <c r="L731" s="113"/>
      <c r="R731" s="8"/>
    </row>
    <row r="732">
      <c r="A732" s="6" t="s">
        <v>470</v>
      </c>
      <c r="B732" s="6">
        <v>240.0</v>
      </c>
      <c r="G732" s="116"/>
      <c r="J732" s="34"/>
      <c r="K732" s="127"/>
      <c r="L732" s="113"/>
      <c r="R732" s="8"/>
    </row>
    <row r="733">
      <c r="A733" s="6" t="s">
        <v>331</v>
      </c>
      <c r="B733" s="6">
        <v>130.0</v>
      </c>
      <c r="G733" s="116"/>
      <c r="I733" s="35"/>
      <c r="K733" s="126"/>
      <c r="L733" s="113"/>
      <c r="R733" s="8"/>
    </row>
    <row r="734">
      <c r="A734" s="6" t="s">
        <v>177</v>
      </c>
      <c r="B734" s="6">
        <v>200.0</v>
      </c>
      <c r="G734" s="116"/>
      <c r="K734" s="126"/>
      <c r="L734" s="113"/>
      <c r="R734" s="8"/>
    </row>
    <row r="735">
      <c r="A735" s="6" t="s">
        <v>471</v>
      </c>
      <c r="B735" s="6">
        <v>205.0</v>
      </c>
      <c r="G735" s="116"/>
      <c r="K735" s="126"/>
      <c r="L735" s="113"/>
      <c r="R735" s="8"/>
    </row>
    <row r="736">
      <c r="A736" s="6" t="s">
        <v>472</v>
      </c>
      <c r="B736" s="6">
        <v>5200.0</v>
      </c>
      <c r="G736" s="116"/>
      <c r="K736" s="126"/>
      <c r="L736" s="113"/>
      <c r="R736" s="8"/>
    </row>
    <row r="737">
      <c r="A737" s="6" t="s">
        <v>473</v>
      </c>
      <c r="B737" s="6">
        <v>6180.0</v>
      </c>
      <c r="E737" s="6">
        <v>6180.0</v>
      </c>
      <c r="F737" s="6" t="s">
        <v>473</v>
      </c>
      <c r="G737" s="116"/>
      <c r="K737" s="126"/>
      <c r="L737" s="113"/>
      <c r="R737" s="8"/>
    </row>
    <row r="738">
      <c r="A738" s="6" t="s">
        <v>474</v>
      </c>
      <c r="B738" s="6">
        <v>200.0</v>
      </c>
      <c r="G738" s="116"/>
      <c r="I738" s="35"/>
      <c r="K738" s="126"/>
      <c r="L738" s="113"/>
      <c r="R738" s="8"/>
    </row>
    <row r="739">
      <c r="A739" s="6" t="s">
        <v>475</v>
      </c>
      <c r="B739" s="6">
        <v>60.0</v>
      </c>
      <c r="G739" s="116"/>
      <c r="K739" s="126"/>
      <c r="L739" s="113"/>
      <c r="R739" s="8"/>
    </row>
    <row r="740">
      <c r="G740" s="116"/>
      <c r="K740" s="126"/>
      <c r="L740" s="113"/>
      <c r="R740" s="8"/>
    </row>
    <row r="741">
      <c r="B741" s="6" t="s">
        <v>453</v>
      </c>
      <c r="C741" s="142">
        <f>SUM(B716:B740)</f>
        <v>22832</v>
      </c>
      <c r="G741" s="116"/>
      <c r="K741" s="126"/>
      <c r="L741" s="113"/>
      <c r="R741" s="8"/>
    </row>
    <row r="742">
      <c r="A742" s="79" t="s">
        <v>476</v>
      </c>
      <c r="E742" s="126"/>
      <c r="F742" s="113"/>
      <c r="G742" s="116"/>
      <c r="K742" s="126"/>
      <c r="L742" s="113"/>
      <c r="R742" s="8"/>
    </row>
    <row r="743">
      <c r="A743" s="112" t="s">
        <v>457</v>
      </c>
      <c r="B743" s="6">
        <v>40.0</v>
      </c>
      <c r="C743" s="114"/>
      <c r="E743" s="126"/>
      <c r="F743" s="113"/>
      <c r="G743" s="116"/>
      <c r="I743" s="34"/>
      <c r="K743" s="126"/>
      <c r="L743" s="113"/>
      <c r="R743" s="8"/>
    </row>
    <row r="744">
      <c r="A744" s="112" t="s">
        <v>186</v>
      </c>
      <c r="B744" s="6">
        <v>500.0</v>
      </c>
      <c r="C744" s="114">
        <v>45839.0</v>
      </c>
      <c r="E744" s="126"/>
      <c r="F744" s="113"/>
      <c r="G744" s="116"/>
      <c r="J744" s="34"/>
      <c r="K744" s="126"/>
      <c r="L744" s="113"/>
      <c r="R744" s="8"/>
    </row>
    <row r="745">
      <c r="A745" s="112"/>
      <c r="D745" s="34"/>
      <c r="E745" s="126"/>
      <c r="F745" s="113"/>
      <c r="G745" s="116"/>
      <c r="K745" s="126"/>
      <c r="L745" s="113"/>
      <c r="R745" s="8"/>
    </row>
    <row r="746">
      <c r="A746" s="112" t="s">
        <v>186</v>
      </c>
      <c r="B746" s="6">
        <v>300.0</v>
      </c>
      <c r="C746" s="99"/>
      <c r="E746" s="126"/>
      <c r="F746" s="113"/>
      <c r="G746" s="116"/>
      <c r="I746" s="34"/>
      <c r="K746" s="126"/>
      <c r="L746" s="113"/>
      <c r="R746" s="8"/>
    </row>
    <row r="747">
      <c r="A747" s="129" t="s">
        <v>409</v>
      </c>
      <c r="B747" s="6">
        <v>49.0</v>
      </c>
      <c r="E747" s="6">
        <v>2000.0</v>
      </c>
      <c r="F747" s="113"/>
      <c r="G747" s="116"/>
      <c r="I747" s="34"/>
      <c r="K747" s="126"/>
      <c r="L747" s="113"/>
      <c r="R747" s="8"/>
    </row>
    <row r="748">
      <c r="A748" s="112" t="s">
        <v>477</v>
      </c>
      <c r="B748" s="16">
        <v>2390.0</v>
      </c>
      <c r="E748" s="126"/>
      <c r="F748" s="113"/>
      <c r="G748" s="116"/>
      <c r="K748" s="126"/>
      <c r="L748" s="113"/>
      <c r="R748" s="8"/>
    </row>
    <row r="749">
      <c r="A749" s="112" t="s">
        <v>186</v>
      </c>
      <c r="B749" s="16">
        <v>155.0</v>
      </c>
      <c r="E749" s="126"/>
      <c r="F749" s="113"/>
      <c r="G749" s="116"/>
      <c r="K749" s="126"/>
      <c r="L749" s="113"/>
      <c r="R749" s="8"/>
    </row>
    <row r="750">
      <c r="A750" s="112" t="s">
        <v>116</v>
      </c>
      <c r="B750" s="6">
        <v>50.0</v>
      </c>
      <c r="E750" s="6">
        <v>1000.0</v>
      </c>
      <c r="F750" s="113"/>
      <c r="G750" s="116"/>
      <c r="K750" s="126"/>
      <c r="L750" s="113"/>
      <c r="R750" s="8"/>
    </row>
    <row r="751">
      <c r="A751" s="6" t="s">
        <v>186</v>
      </c>
      <c r="B751" s="6">
        <v>20.0</v>
      </c>
      <c r="F751" s="113"/>
      <c r="G751" s="116"/>
      <c r="K751" s="126"/>
      <c r="L751" s="113"/>
      <c r="R751" s="8"/>
    </row>
    <row r="752">
      <c r="A752" s="6" t="s">
        <v>478</v>
      </c>
      <c r="B752" s="6">
        <v>650.0</v>
      </c>
      <c r="C752" s="114"/>
      <c r="F752" s="112"/>
      <c r="G752" s="116"/>
      <c r="K752" s="126"/>
      <c r="L752" s="113"/>
      <c r="R752" s="8"/>
    </row>
    <row r="753">
      <c r="A753" s="6" t="s">
        <v>186</v>
      </c>
      <c r="B753" s="6">
        <v>205.0</v>
      </c>
      <c r="E753" s="126"/>
      <c r="F753" s="113"/>
      <c r="G753" s="116"/>
      <c r="I753" s="34"/>
      <c r="K753" s="126"/>
      <c r="L753" s="113"/>
      <c r="R753" s="8"/>
    </row>
    <row r="754">
      <c r="A754" s="6" t="s">
        <v>186</v>
      </c>
      <c r="B754" s="6">
        <v>100.0</v>
      </c>
      <c r="C754" s="114"/>
      <c r="G754" s="116"/>
      <c r="K754" s="126"/>
      <c r="L754" s="113"/>
      <c r="R754" s="8"/>
    </row>
    <row r="755">
      <c r="A755" s="6" t="s">
        <v>186</v>
      </c>
      <c r="B755" s="6">
        <v>180.0</v>
      </c>
      <c r="C755" s="114">
        <v>45852.0</v>
      </c>
      <c r="D755" s="140">
        <v>45856.0</v>
      </c>
      <c r="E755" s="6">
        <v>8000.0</v>
      </c>
      <c r="F755" s="133" t="s">
        <v>479</v>
      </c>
      <c r="G755" s="116"/>
      <c r="I755" s="34"/>
      <c r="K755" s="126"/>
      <c r="L755" s="113"/>
      <c r="R755" s="8"/>
    </row>
    <row r="756">
      <c r="A756" s="6" t="s">
        <v>186</v>
      </c>
      <c r="B756" s="6">
        <v>150.0</v>
      </c>
      <c r="C756" s="114">
        <v>45853.0</v>
      </c>
      <c r="E756" s="6">
        <v>1000.0</v>
      </c>
      <c r="F756" s="133" t="s">
        <v>186</v>
      </c>
      <c r="G756" s="116"/>
      <c r="I756" s="34"/>
      <c r="K756" s="126"/>
      <c r="L756" s="113"/>
      <c r="R756" s="8"/>
    </row>
    <row r="757">
      <c r="A757" s="6" t="s">
        <v>186</v>
      </c>
      <c r="B757" s="6">
        <v>95.0</v>
      </c>
      <c r="C757" s="114">
        <v>45854.0</v>
      </c>
      <c r="E757" s="6">
        <v>1000.0</v>
      </c>
      <c r="F757" s="6" t="s">
        <v>186</v>
      </c>
      <c r="G757" s="116"/>
      <c r="I757" s="34"/>
      <c r="K757" s="126"/>
      <c r="L757" s="113"/>
      <c r="R757" s="8"/>
    </row>
    <row r="758">
      <c r="A758" s="6" t="s">
        <v>480</v>
      </c>
      <c r="B758" s="6">
        <v>190.0</v>
      </c>
      <c r="C758" s="114"/>
      <c r="F758" s="113"/>
      <c r="G758" s="116"/>
      <c r="K758" s="126"/>
      <c r="L758" s="113"/>
      <c r="R758" s="8"/>
    </row>
    <row r="759">
      <c r="A759" s="112" t="s">
        <v>481</v>
      </c>
      <c r="B759" s="6">
        <v>500.0</v>
      </c>
      <c r="C759" s="114">
        <v>45856.0</v>
      </c>
      <c r="D759" s="114">
        <v>45858.0</v>
      </c>
      <c r="E759" s="6">
        <v>1000.0</v>
      </c>
      <c r="F759" s="6" t="s">
        <v>186</v>
      </c>
      <c r="G759" s="116"/>
      <c r="K759" s="126"/>
      <c r="L759" s="113"/>
      <c r="R759" s="8"/>
    </row>
    <row r="760">
      <c r="A760" s="112" t="s">
        <v>186</v>
      </c>
      <c r="B760" s="6">
        <v>155.0</v>
      </c>
      <c r="G760" s="116"/>
      <c r="K760" s="126"/>
      <c r="L760" s="113"/>
      <c r="R760" s="8"/>
    </row>
    <row r="761">
      <c r="A761" s="6" t="s">
        <v>186</v>
      </c>
      <c r="B761" s="6">
        <v>180.0</v>
      </c>
      <c r="E761" s="126"/>
      <c r="F761" s="113"/>
      <c r="G761" s="116"/>
      <c r="I761" s="34"/>
      <c r="K761" s="126"/>
      <c r="L761" s="113"/>
      <c r="R761" s="8"/>
    </row>
    <row r="762">
      <c r="A762" s="112" t="s">
        <v>482</v>
      </c>
      <c r="B762" s="6">
        <v>200.0</v>
      </c>
      <c r="E762" s="126"/>
      <c r="F762" s="113"/>
      <c r="G762" s="116"/>
      <c r="K762" s="126"/>
      <c r="L762" s="113"/>
      <c r="R762" s="8"/>
    </row>
    <row r="763">
      <c r="A763" s="112" t="s">
        <v>186</v>
      </c>
      <c r="B763" s="6">
        <v>125.0</v>
      </c>
      <c r="C763" s="34"/>
      <c r="D763" s="34"/>
      <c r="F763" s="112"/>
      <c r="G763" s="116"/>
      <c r="K763" s="126"/>
      <c r="L763" s="113"/>
      <c r="R763" s="8"/>
    </row>
    <row r="764">
      <c r="A764" s="6" t="s">
        <v>186</v>
      </c>
      <c r="B764" s="6">
        <v>135.0</v>
      </c>
      <c r="F764" s="112"/>
      <c r="G764" s="116"/>
      <c r="K764" s="126"/>
      <c r="L764" s="113"/>
      <c r="R764" s="8"/>
    </row>
    <row r="765">
      <c r="A765" s="6" t="s">
        <v>186</v>
      </c>
      <c r="B765" s="6">
        <v>120.0</v>
      </c>
      <c r="C765" s="114">
        <v>45860.0</v>
      </c>
      <c r="E765" s="126"/>
      <c r="F765" s="113"/>
      <c r="G765" s="116"/>
      <c r="I765" s="34"/>
      <c r="K765" s="126"/>
      <c r="L765" s="113"/>
      <c r="R765" s="8"/>
    </row>
    <row r="766">
      <c r="A766" s="6" t="s">
        <v>186</v>
      </c>
      <c r="B766" s="6">
        <v>767.0</v>
      </c>
      <c r="C766" s="6" t="s">
        <v>483</v>
      </c>
      <c r="E766" s="126"/>
      <c r="F766" s="113"/>
      <c r="G766" s="116"/>
      <c r="K766" s="126"/>
      <c r="L766" s="113"/>
      <c r="R766" s="8"/>
    </row>
    <row r="767">
      <c r="A767" s="6" t="s">
        <v>484</v>
      </c>
      <c r="B767" s="6">
        <v>3600.0</v>
      </c>
      <c r="E767" s="6">
        <v>160.0</v>
      </c>
      <c r="F767" s="133" t="s">
        <v>34</v>
      </c>
      <c r="G767" s="116"/>
      <c r="K767" s="126"/>
      <c r="L767" s="113"/>
      <c r="R767" s="8"/>
    </row>
    <row r="768">
      <c r="A768" s="6" t="s">
        <v>186</v>
      </c>
      <c r="B768" s="6">
        <v>1070.0</v>
      </c>
      <c r="C768" s="6" t="s">
        <v>485</v>
      </c>
      <c r="E768" s="126"/>
      <c r="F768" s="113"/>
      <c r="G768" s="116"/>
      <c r="K768" s="126"/>
      <c r="L768" s="113"/>
      <c r="R768" s="8"/>
    </row>
    <row r="769">
      <c r="E769" s="126"/>
      <c r="F769" s="113"/>
      <c r="G769" s="116"/>
      <c r="K769" s="126"/>
      <c r="L769" s="113"/>
      <c r="R769" s="8"/>
    </row>
    <row r="770">
      <c r="E770" s="6">
        <v>500.0</v>
      </c>
      <c r="F770" s="133" t="s">
        <v>186</v>
      </c>
      <c r="G770" s="116"/>
      <c r="K770" s="126"/>
      <c r="L770" s="113"/>
      <c r="R770" s="8"/>
    </row>
    <row r="771">
      <c r="B771" s="6" t="s">
        <v>453</v>
      </c>
      <c r="C771" s="142">
        <f>SUM(B743:B770)</f>
        <v>11926</v>
      </c>
      <c r="E771" s="6">
        <v>300.0</v>
      </c>
      <c r="F771" s="133" t="s">
        <v>486</v>
      </c>
      <c r="G771" s="116"/>
      <c r="I771" s="34"/>
      <c r="K771" s="126"/>
      <c r="L771" s="113"/>
      <c r="R771" s="8"/>
    </row>
    <row r="772">
      <c r="A772" s="116"/>
      <c r="C772" s="34"/>
      <c r="E772" s="6">
        <v>3600.0</v>
      </c>
      <c r="F772" s="133" t="s">
        <v>484</v>
      </c>
      <c r="G772" s="116"/>
      <c r="I772" s="52"/>
      <c r="K772" s="126"/>
      <c r="L772" s="113"/>
      <c r="R772" s="8"/>
    </row>
    <row r="773">
      <c r="A773" s="116"/>
      <c r="C773" s="34"/>
      <c r="E773" s="126"/>
      <c r="F773" s="113"/>
      <c r="G773" s="116"/>
      <c r="I773" s="52"/>
      <c r="K773" s="126"/>
      <c r="L773" s="113"/>
      <c r="R773" s="8"/>
    </row>
    <row r="774">
      <c r="A774" s="116"/>
      <c r="C774" s="34"/>
      <c r="E774" s="126"/>
      <c r="F774" s="113"/>
      <c r="G774" s="116"/>
      <c r="I774" s="34"/>
      <c r="K774" s="126"/>
      <c r="L774" s="113"/>
      <c r="R774" s="8"/>
    </row>
    <row r="775">
      <c r="A775" s="116"/>
      <c r="C775" s="52"/>
      <c r="E775" s="126"/>
      <c r="F775" s="113"/>
      <c r="G775" s="116"/>
      <c r="I775" s="52"/>
      <c r="K775" s="126"/>
      <c r="L775" s="113"/>
      <c r="R775" s="8"/>
    </row>
    <row r="776">
      <c r="A776" s="116"/>
      <c r="C776" s="52"/>
      <c r="E776" s="126"/>
      <c r="F776" s="113"/>
      <c r="G776" s="116"/>
      <c r="I776" s="52"/>
      <c r="K776" s="126"/>
      <c r="L776" s="113"/>
      <c r="R776" s="8"/>
    </row>
    <row r="777">
      <c r="A777" s="116"/>
      <c r="E777" s="126"/>
      <c r="F777" s="113"/>
      <c r="G777" s="116"/>
      <c r="H777" s="6">
        <v>1000.0</v>
      </c>
      <c r="K777" s="126"/>
      <c r="L777" s="113"/>
      <c r="R777" s="8"/>
    </row>
    <row r="778">
      <c r="A778" s="134" t="s">
        <v>118</v>
      </c>
      <c r="C778" s="74">
        <f>SUM(B661:B777)</f>
        <v>143318</v>
      </c>
      <c r="D778" s="58" t="s">
        <v>258</v>
      </c>
      <c r="E778" s="107">
        <f>SUM(E665:E777)</f>
        <v>34316</v>
      </c>
      <c r="F778" s="135">
        <f>C778-E778</f>
        <v>109002</v>
      </c>
      <c r="G778" s="134" t="s">
        <v>118</v>
      </c>
      <c r="I778" s="74">
        <f>SUM(H665:H777)</f>
        <v>40310</v>
      </c>
      <c r="J778" s="58" t="s">
        <v>258</v>
      </c>
      <c r="K778" s="107">
        <f>SUM(K665:K777)</f>
        <v>1000</v>
      </c>
      <c r="L778" s="135">
        <f>I778-K778</f>
        <v>39310</v>
      </c>
      <c r="R778" s="8"/>
    </row>
    <row r="779">
      <c r="A779" s="122"/>
      <c r="B779" s="76">
        <f>SUM(B664:B778)</f>
        <v>69189</v>
      </c>
      <c r="F779" s="113"/>
      <c r="G779" s="122"/>
      <c r="H779" s="76">
        <f>SUM(H664:H778)</f>
        <v>40310</v>
      </c>
      <c r="L779" s="113"/>
      <c r="R779" s="8"/>
    </row>
    <row r="780">
      <c r="A780" s="136" t="s">
        <v>119</v>
      </c>
      <c r="B780" s="65">
        <f>B663-B779</f>
        <v>440</v>
      </c>
      <c r="C780" s="6">
        <v>440.0</v>
      </c>
      <c r="F780" s="113"/>
      <c r="G780" s="136" t="s">
        <v>119</v>
      </c>
      <c r="H780" s="65">
        <f>H663-H779</f>
        <v>490</v>
      </c>
      <c r="I780" s="6">
        <v>490.0</v>
      </c>
      <c r="L780" s="113"/>
      <c r="R780" s="8"/>
    </row>
    <row r="781">
      <c r="A781" s="116"/>
      <c r="B781" s="63"/>
      <c r="C781" s="19">
        <f>B780-C780</f>
        <v>0</v>
      </c>
      <c r="F781" s="113"/>
      <c r="G781" s="116"/>
      <c r="H781" s="63"/>
      <c r="I781" s="19">
        <f>H780-I780</f>
        <v>0</v>
      </c>
      <c r="L781" s="113"/>
      <c r="R781" s="8"/>
    </row>
    <row r="782">
      <c r="A782" s="112" t="s">
        <v>120</v>
      </c>
      <c r="B782" s="103">
        <f>B664</f>
        <v>5343</v>
      </c>
      <c r="F782" s="113"/>
      <c r="G782" s="112" t="s">
        <v>120</v>
      </c>
      <c r="H782" s="103">
        <f>H664</f>
        <v>0</v>
      </c>
      <c r="L782" s="113"/>
      <c r="R782" s="8"/>
    </row>
    <row r="783">
      <c r="A783" s="137"/>
      <c r="B783" s="138"/>
      <c r="C783" s="138"/>
      <c r="D783" s="138"/>
      <c r="E783" s="138"/>
      <c r="F783" s="139"/>
      <c r="G783" s="137"/>
      <c r="H783" s="138"/>
      <c r="I783" s="138"/>
      <c r="J783" s="138"/>
      <c r="K783" s="138"/>
      <c r="L783" s="139"/>
      <c r="R783" s="8"/>
    </row>
    <row r="784">
      <c r="R784" s="8"/>
    </row>
    <row r="785">
      <c r="A785" s="108" t="s">
        <v>0</v>
      </c>
      <c r="B785" s="109" t="s">
        <v>487</v>
      </c>
      <c r="C785" s="110"/>
      <c r="D785" s="110"/>
      <c r="E785" s="110"/>
      <c r="F785" s="111"/>
      <c r="R785" s="8"/>
    </row>
    <row r="786">
      <c r="A786" s="143" t="s">
        <v>2</v>
      </c>
      <c r="B786" s="144" t="s">
        <v>488</v>
      </c>
      <c r="C786" s="34" t="s">
        <v>92</v>
      </c>
      <c r="D786" s="34" t="s">
        <v>54</v>
      </c>
      <c r="R786" s="8"/>
    </row>
    <row r="787">
      <c r="A787" s="6" t="s">
        <v>489</v>
      </c>
      <c r="B787" s="6">
        <v>6000.0</v>
      </c>
      <c r="C787" s="6">
        <v>6000.0</v>
      </c>
      <c r="R787" s="8"/>
    </row>
    <row r="788">
      <c r="A788" s="6" t="s">
        <v>490</v>
      </c>
      <c r="B788" s="6">
        <v>3500.0</v>
      </c>
      <c r="C788" s="6">
        <v>2500.0</v>
      </c>
      <c r="R788" s="8"/>
    </row>
    <row r="789">
      <c r="A789" s="6" t="s">
        <v>6</v>
      </c>
      <c r="B789" s="6">
        <v>11000.0</v>
      </c>
      <c r="R789" s="8"/>
    </row>
    <row r="790">
      <c r="R790" s="8"/>
    </row>
    <row r="791">
      <c r="R791" s="8"/>
    </row>
    <row r="792">
      <c r="R792" s="8"/>
    </row>
    <row r="793">
      <c r="R793" s="8"/>
    </row>
    <row r="794">
      <c r="R794" s="8"/>
    </row>
    <row r="795">
      <c r="R795" s="8"/>
    </row>
    <row r="796">
      <c r="R796" s="8"/>
    </row>
    <row r="797">
      <c r="R797" s="8"/>
    </row>
    <row r="798">
      <c r="A798" s="6" t="s">
        <v>92</v>
      </c>
      <c r="B798" s="6">
        <v>5923.0</v>
      </c>
      <c r="C798" s="6">
        <v>5923.0</v>
      </c>
      <c r="R798" s="8"/>
    </row>
    <row r="799">
      <c r="A799" s="6" t="s">
        <v>491</v>
      </c>
      <c r="B799" s="6">
        <v>440.0</v>
      </c>
      <c r="R799" s="8"/>
    </row>
    <row r="800">
      <c r="A800" s="145" t="s">
        <v>404</v>
      </c>
      <c r="B800" s="142">
        <f>SUM(B787:B799)</f>
        <v>26863</v>
      </c>
      <c r="C800" s="45"/>
      <c r="R800" s="8"/>
    </row>
    <row r="801">
      <c r="A801" s="6" t="s">
        <v>492</v>
      </c>
      <c r="B801" s="46">
        <f>SUM(C787:C799)-D864</f>
        <v>8513</v>
      </c>
      <c r="R801" s="8"/>
    </row>
    <row r="802">
      <c r="B802" s="6"/>
      <c r="R802" s="8"/>
    </row>
    <row r="803">
      <c r="A803" s="53" t="s">
        <v>493</v>
      </c>
      <c r="R803" s="8"/>
    </row>
    <row r="804">
      <c r="A804" s="6" t="s">
        <v>494</v>
      </c>
      <c r="B804" s="6" t="s">
        <v>495</v>
      </c>
      <c r="R804" s="8"/>
    </row>
    <row r="805">
      <c r="A805" s="6" t="s">
        <v>496</v>
      </c>
      <c r="B805" s="6" t="s">
        <v>98</v>
      </c>
      <c r="R805" s="8"/>
    </row>
    <row r="806">
      <c r="A806" s="6" t="s">
        <v>497</v>
      </c>
      <c r="B806" s="6" t="s">
        <v>98</v>
      </c>
      <c r="R806" s="8"/>
    </row>
    <row r="807">
      <c r="A807" s="6" t="s">
        <v>498</v>
      </c>
      <c r="B807" s="6" t="s">
        <v>210</v>
      </c>
      <c r="R807" s="8"/>
    </row>
    <row r="808">
      <c r="A808" s="6" t="s">
        <v>202</v>
      </c>
      <c r="B808" s="6">
        <v>300.0</v>
      </c>
      <c r="C808" s="114">
        <v>45870.0</v>
      </c>
      <c r="R808" s="8"/>
    </row>
    <row r="809">
      <c r="B809" s="6">
        <v>100.0</v>
      </c>
      <c r="C809" s="114">
        <v>45875.0</v>
      </c>
      <c r="D809" s="6">
        <v>110.0</v>
      </c>
      <c r="R809" s="8"/>
    </row>
    <row r="810">
      <c r="R810" s="8"/>
    </row>
    <row r="811">
      <c r="R811" s="8"/>
    </row>
    <row r="812">
      <c r="B812" s="145" t="s">
        <v>283</v>
      </c>
      <c r="C812" s="142">
        <f>SUM(B804:B811)</f>
        <v>400</v>
      </c>
      <c r="D812" s="34" t="s">
        <v>499</v>
      </c>
      <c r="E812" s="146">
        <f>15000-C812</f>
        <v>14600</v>
      </c>
      <c r="R812" s="8"/>
    </row>
    <row r="813">
      <c r="A813" s="53" t="s">
        <v>224</v>
      </c>
      <c r="R813" s="8"/>
    </row>
    <row r="814">
      <c r="A814" s="6" t="s">
        <v>334</v>
      </c>
      <c r="B814" s="6">
        <v>300.0</v>
      </c>
      <c r="C814" s="114">
        <v>45871.0</v>
      </c>
      <c r="D814" s="6">
        <v>500.0</v>
      </c>
      <c r="R814" s="8"/>
    </row>
    <row r="815">
      <c r="B815" s="6">
        <v>400.0</v>
      </c>
      <c r="C815" s="114">
        <v>45872.0</v>
      </c>
      <c r="D815" s="6">
        <v>500.0</v>
      </c>
      <c r="R815" s="8"/>
    </row>
    <row r="816">
      <c r="A816" s="6" t="s">
        <v>500</v>
      </c>
      <c r="B816" s="6">
        <v>1630.0</v>
      </c>
      <c r="D816" s="6">
        <v>1500.0</v>
      </c>
      <c r="R816" s="8"/>
    </row>
    <row r="817">
      <c r="B817" s="6">
        <v>320.0</v>
      </c>
      <c r="R817" s="8"/>
    </row>
    <row r="818">
      <c r="A818" s="6" t="s">
        <v>501</v>
      </c>
      <c r="B818" s="6">
        <v>100.0</v>
      </c>
      <c r="C818" s="114">
        <v>45875.0</v>
      </c>
      <c r="R818" s="8"/>
    </row>
    <row r="819">
      <c r="A819" s="6" t="s">
        <v>502</v>
      </c>
      <c r="B819" s="6">
        <v>80.0</v>
      </c>
      <c r="C819" s="114">
        <v>45876.0</v>
      </c>
      <c r="R819" s="8"/>
    </row>
    <row r="820">
      <c r="A820" s="6" t="s">
        <v>503</v>
      </c>
      <c r="B820" s="6">
        <v>60.0</v>
      </c>
      <c r="R820" s="8"/>
    </row>
    <row r="821">
      <c r="R821" s="8"/>
    </row>
    <row r="822">
      <c r="R822" s="8"/>
    </row>
    <row r="823">
      <c r="R823" s="8"/>
    </row>
    <row r="824">
      <c r="R824" s="8"/>
    </row>
    <row r="825">
      <c r="B825" s="145" t="s">
        <v>283</v>
      </c>
      <c r="C825" s="142">
        <f>SUM(B814:B824)</f>
        <v>2890</v>
      </c>
      <c r="D825" s="34" t="s">
        <v>504</v>
      </c>
      <c r="E825" s="146">
        <f>5000-C825</f>
        <v>2110</v>
      </c>
      <c r="R825" s="8"/>
    </row>
    <row r="826">
      <c r="A826" s="53" t="s">
        <v>505</v>
      </c>
      <c r="R826" s="8"/>
    </row>
    <row r="827">
      <c r="A827" s="6" t="s">
        <v>496</v>
      </c>
      <c r="B827" s="6">
        <v>1000.0</v>
      </c>
      <c r="C827" s="114">
        <v>45872.0</v>
      </c>
      <c r="D827" s="6">
        <v>1000.0</v>
      </c>
      <c r="R827" s="8"/>
    </row>
    <row r="828">
      <c r="A828" s="6" t="s">
        <v>506</v>
      </c>
      <c r="B828" s="6">
        <v>500.0</v>
      </c>
      <c r="C828" s="114">
        <v>45874.0</v>
      </c>
      <c r="D828" s="6">
        <v>500.0</v>
      </c>
      <c r="R828" s="8"/>
    </row>
    <row r="829">
      <c r="A829" s="6" t="s">
        <v>172</v>
      </c>
      <c r="B829" s="6">
        <v>10700.0</v>
      </c>
      <c r="C829" s="114">
        <v>45875.0</v>
      </c>
      <c r="R829" s="8"/>
    </row>
    <row r="830">
      <c r="A830" s="6" t="s">
        <v>507</v>
      </c>
      <c r="B830" s="6">
        <v>140.0</v>
      </c>
      <c r="C830" s="114">
        <v>45875.0</v>
      </c>
      <c r="R830" s="8"/>
    </row>
    <row r="831">
      <c r="A831" s="6" t="s">
        <v>508</v>
      </c>
      <c r="B831" s="6">
        <v>10.0</v>
      </c>
      <c r="C831" s="114">
        <v>45876.0</v>
      </c>
      <c r="D831" s="6">
        <v>1000.0</v>
      </c>
      <c r="R831" s="8"/>
    </row>
    <row r="832">
      <c r="A832" s="6" t="s">
        <v>509</v>
      </c>
      <c r="B832" s="6">
        <v>100.0</v>
      </c>
      <c r="R832" s="8"/>
    </row>
    <row r="833">
      <c r="A833" s="6" t="s">
        <v>510</v>
      </c>
      <c r="B833" s="6">
        <v>80.0</v>
      </c>
      <c r="R833" s="8"/>
    </row>
    <row r="834">
      <c r="A834" s="6" t="s">
        <v>511</v>
      </c>
      <c r="B834" s="6">
        <v>160.0</v>
      </c>
      <c r="R834" s="8"/>
    </row>
    <row r="835">
      <c r="A835" s="6" t="s">
        <v>512</v>
      </c>
      <c r="B835" s="6">
        <v>60.0</v>
      </c>
      <c r="R835" s="8"/>
    </row>
    <row r="836">
      <c r="A836" s="6" t="s">
        <v>513</v>
      </c>
      <c r="B836" s="6">
        <v>200.0</v>
      </c>
      <c r="R836" s="8"/>
    </row>
    <row r="837">
      <c r="R837" s="8"/>
    </row>
    <row r="838">
      <c r="R838" s="8"/>
    </row>
    <row r="839">
      <c r="R839" s="8"/>
    </row>
    <row r="840">
      <c r="R840" s="8"/>
    </row>
    <row r="841">
      <c r="R841" s="8"/>
    </row>
    <row r="842">
      <c r="B842" s="145" t="s">
        <v>283</v>
      </c>
      <c r="C842" s="142">
        <f>SUM(B827:B841)</f>
        <v>12950</v>
      </c>
      <c r="D842" s="34" t="s">
        <v>499</v>
      </c>
      <c r="E842" s="146">
        <f>15000-C842</f>
        <v>2050</v>
      </c>
      <c r="R842" s="8"/>
    </row>
    <row r="843">
      <c r="A843" s="53" t="s">
        <v>514</v>
      </c>
      <c r="R843" s="8"/>
    </row>
    <row r="844">
      <c r="A844" s="6" t="s">
        <v>116</v>
      </c>
      <c r="B844" s="6">
        <v>300.0</v>
      </c>
      <c r="C844" s="114">
        <v>45871.0</v>
      </c>
      <c r="D844" s="6">
        <v>300.0</v>
      </c>
      <c r="R844" s="8"/>
    </row>
    <row r="845">
      <c r="A845" s="6" t="s">
        <v>72</v>
      </c>
      <c r="B845" s="6">
        <v>20.0</v>
      </c>
      <c r="C845" s="114">
        <v>45876.0</v>
      </c>
      <c r="D845" s="6">
        <v>500.0</v>
      </c>
      <c r="R845" s="8"/>
    </row>
    <row r="846">
      <c r="R846" s="8"/>
    </row>
    <row r="847">
      <c r="R847" s="8"/>
    </row>
    <row r="848">
      <c r="R848" s="8"/>
    </row>
    <row r="849">
      <c r="R849" s="8"/>
    </row>
    <row r="850">
      <c r="R850" s="8"/>
    </row>
    <row r="851">
      <c r="R851" s="8"/>
    </row>
    <row r="852">
      <c r="R852" s="8"/>
    </row>
    <row r="853">
      <c r="R853" s="8"/>
    </row>
    <row r="854">
      <c r="R854" s="8"/>
    </row>
    <row r="855">
      <c r="R855" s="8"/>
    </row>
    <row r="856">
      <c r="R856" s="8"/>
    </row>
    <row r="857">
      <c r="R857" s="8"/>
    </row>
    <row r="858">
      <c r="R858" s="8"/>
    </row>
    <row r="859">
      <c r="R859" s="8"/>
    </row>
    <row r="860">
      <c r="R860" s="8"/>
    </row>
    <row r="861">
      <c r="A861" s="6" t="s">
        <v>186</v>
      </c>
      <c r="B861" s="6">
        <v>1225.0</v>
      </c>
      <c r="R861" s="8"/>
    </row>
    <row r="862">
      <c r="R862" s="8"/>
    </row>
    <row r="863">
      <c r="B863" s="145" t="s">
        <v>283</v>
      </c>
      <c r="C863" s="142">
        <f>SUM(B844:B862)</f>
        <v>1545</v>
      </c>
      <c r="D863" s="34" t="s">
        <v>504</v>
      </c>
      <c r="E863" s="146">
        <f>5000-C863</f>
        <v>3455</v>
      </c>
      <c r="R863" s="8"/>
    </row>
    <row r="864">
      <c r="A864" s="53" t="s">
        <v>515</v>
      </c>
      <c r="B864" s="44">
        <f>SUM(B801:B863)</f>
        <v>26298</v>
      </c>
      <c r="C864" s="147" t="s">
        <v>516</v>
      </c>
      <c r="D864" s="45">
        <f>SUM(D803:D863)</f>
        <v>5910</v>
      </c>
      <c r="R864" s="8"/>
    </row>
    <row r="865">
      <c r="C865" s="79" t="s">
        <v>517</v>
      </c>
      <c r="D865" s="45">
        <f>B801</f>
        <v>8513</v>
      </c>
      <c r="R865" s="8"/>
    </row>
    <row r="866">
      <c r="C866" s="79" t="s">
        <v>518</v>
      </c>
      <c r="D866" s="46">
        <f>D864+D865</f>
        <v>14423</v>
      </c>
      <c r="R866" s="8"/>
    </row>
    <row r="867">
      <c r="C867" s="79" t="s">
        <v>519</v>
      </c>
      <c r="D867" s="46">
        <f>B864-D866</f>
        <v>11875</v>
      </c>
      <c r="R867" s="8"/>
    </row>
    <row r="868">
      <c r="R868" s="8"/>
    </row>
    <row r="869">
      <c r="A869" s="145" t="s">
        <v>49</v>
      </c>
      <c r="B869" s="142">
        <f>B800-B864</f>
        <v>565</v>
      </c>
      <c r="C869" s="6">
        <v>565.0</v>
      </c>
      <c r="R869" s="8"/>
    </row>
    <row r="870">
      <c r="C870" s="46">
        <f>B869-C869</f>
        <v>0</v>
      </c>
      <c r="R870" s="8"/>
    </row>
    <row r="871">
      <c r="R871" s="8"/>
    </row>
    <row r="872">
      <c r="R872" s="8"/>
    </row>
    <row r="873">
      <c r="R873" s="8"/>
    </row>
    <row r="874">
      <c r="R874" s="8"/>
    </row>
    <row r="875">
      <c r="R875" s="8"/>
    </row>
    <row r="876">
      <c r="R876" s="8"/>
    </row>
    <row r="877">
      <c r="R877" s="8"/>
    </row>
    <row r="878">
      <c r="R878" s="8"/>
    </row>
    <row r="879">
      <c r="R879" s="8"/>
    </row>
    <row r="880">
      <c r="R880" s="8"/>
    </row>
    <row r="881">
      <c r="R881" s="8"/>
    </row>
    <row r="882">
      <c r="R882" s="8"/>
    </row>
    <row r="883">
      <c r="R883" s="8"/>
    </row>
    <row r="884">
      <c r="R884" s="8"/>
    </row>
    <row r="885">
      <c r="R885" s="8"/>
    </row>
    <row r="886">
      <c r="R886" s="8"/>
    </row>
    <row r="887">
      <c r="R887" s="8"/>
    </row>
    <row r="888">
      <c r="R888" s="8"/>
    </row>
    <row r="889">
      <c r="R889" s="8"/>
    </row>
    <row r="890">
      <c r="R890" s="8"/>
    </row>
    <row r="891">
      <c r="R891" s="8"/>
    </row>
    <row r="892">
      <c r="R892" s="8"/>
    </row>
    <row r="893">
      <c r="R893" s="8"/>
    </row>
    <row r="894">
      <c r="R894" s="8"/>
    </row>
    <row r="895">
      <c r="R895" s="8"/>
    </row>
    <row r="896">
      <c r="R896" s="8"/>
    </row>
    <row r="897">
      <c r="R897" s="8"/>
    </row>
    <row r="898">
      <c r="R898" s="8"/>
    </row>
    <row r="899">
      <c r="R899" s="8"/>
    </row>
    <row r="900">
      <c r="R900" s="8"/>
    </row>
    <row r="901">
      <c r="R901" s="8"/>
    </row>
    <row r="902">
      <c r="R902" s="8"/>
    </row>
    <row r="903">
      <c r="R903" s="8"/>
    </row>
    <row r="904">
      <c r="R904" s="8"/>
    </row>
    <row r="905">
      <c r="R905" s="8"/>
    </row>
    <row r="906">
      <c r="R906" s="8"/>
    </row>
    <row r="907">
      <c r="R907" s="8"/>
    </row>
    <row r="908">
      <c r="R908" s="8"/>
    </row>
    <row r="909">
      <c r="R909" s="8"/>
    </row>
    <row r="910">
      <c r="R910" s="8"/>
    </row>
    <row r="911">
      <c r="R911" s="8"/>
    </row>
    <row r="912">
      <c r="R912" s="8"/>
    </row>
    <row r="913">
      <c r="R913" s="8"/>
    </row>
    <row r="914">
      <c r="R914" s="8"/>
    </row>
    <row r="915">
      <c r="R915" s="8"/>
    </row>
    <row r="916">
      <c r="R916" s="8"/>
    </row>
    <row r="917">
      <c r="R917" s="8"/>
    </row>
    <row r="918">
      <c r="R918" s="8"/>
    </row>
    <row r="919">
      <c r="R919" s="8"/>
    </row>
    <row r="920">
      <c r="R920" s="8"/>
    </row>
    <row r="921">
      <c r="R921" s="8"/>
    </row>
    <row r="922">
      <c r="R922" s="8"/>
    </row>
    <row r="923">
      <c r="R923" s="8"/>
    </row>
    <row r="924">
      <c r="R924" s="8"/>
    </row>
    <row r="925">
      <c r="R925" s="8"/>
    </row>
    <row r="926">
      <c r="R926" s="8"/>
    </row>
    <row r="927">
      <c r="R927" s="8"/>
    </row>
    <row r="928">
      <c r="R928" s="8"/>
    </row>
    <row r="929">
      <c r="R929" s="8"/>
    </row>
    <row r="930">
      <c r="R930" s="8"/>
    </row>
    <row r="931">
      <c r="R931" s="8"/>
    </row>
    <row r="932">
      <c r="R932" s="8"/>
    </row>
    <row r="933">
      <c r="R933" s="8"/>
    </row>
    <row r="934">
      <c r="R934" s="8"/>
    </row>
    <row r="935">
      <c r="R935" s="8"/>
    </row>
    <row r="936">
      <c r="R936" s="8"/>
    </row>
    <row r="937">
      <c r="R937" s="8"/>
    </row>
    <row r="938">
      <c r="R938" s="8"/>
    </row>
    <row r="939">
      <c r="R939" s="8"/>
    </row>
    <row r="940">
      <c r="R940" s="8"/>
    </row>
    <row r="941">
      <c r="R941" s="8"/>
    </row>
    <row r="942">
      <c r="R942" s="8"/>
    </row>
    <row r="943">
      <c r="R943" s="8"/>
    </row>
    <row r="944">
      <c r="R944" s="8"/>
    </row>
    <row r="945">
      <c r="R945" s="8"/>
    </row>
    <row r="946">
      <c r="R946" s="8"/>
    </row>
    <row r="947">
      <c r="R947" s="8"/>
    </row>
    <row r="948">
      <c r="R948" s="8"/>
    </row>
    <row r="949">
      <c r="R949" s="8"/>
    </row>
    <row r="950">
      <c r="R950" s="8"/>
    </row>
    <row r="951">
      <c r="R951" s="8"/>
    </row>
    <row r="952">
      <c r="R952" s="8"/>
    </row>
    <row r="953">
      <c r="R953" s="8"/>
    </row>
    <row r="954">
      <c r="R954" s="8"/>
    </row>
    <row r="955">
      <c r="R955" s="8"/>
    </row>
    <row r="956">
      <c r="R956" s="8"/>
    </row>
    <row r="957">
      <c r="R957" s="8"/>
    </row>
    <row r="958">
      <c r="R958" s="8"/>
    </row>
    <row r="959">
      <c r="R959" s="8"/>
    </row>
    <row r="960">
      <c r="R960" s="8"/>
    </row>
    <row r="961">
      <c r="R961" s="8"/>
    </row>
    <row r="962">
      <c r="R962" s="8"/>
    </row>
    <row r="963">
      <c r="R963" s="8"/>
    </row>
    <row r="964">
      <c r="R964" s="8"/>
    </row>
    <row r="965">
      <c r="R965" s="8"/>
    </row>
    <row r="966">
      <c r="R966" s="8"/>
    </row>
    <row r="967">
      <c r="R967" s="8"/>
    </row>
    <row r="968">
      <c r="R968" s="8"/>
    </row>
    <row r="969">
      <c r="R969" s="8"/>
    </row>
    <row r="970">
      <c r="R970" s="8"/>
    </row>
    <row r="971">
      <c r="R971" s="8"/>
    </row>
    <row r="972">
      <c r="R972" s="8"/>
    </row>
    <row r="973">
      <c r="R973" s="8"/>
    </row>
    <row r="974">
      <c r="R974" s="8"/>
    </row>
    <row r="975">
      <c r="R975" s="8"/>
    </row>
    <row r="976">
      <c r="R976" s="8"/>
    </row>
    <row r="977">
      <c r="R977" s="8"/>
    </row>
    <row r="978">
      <c r="R978" s="8"/>
    </row>
    <row r="979">
      <c r="R979" s="8"/>
    </row>
    <row r="980">
      <c r="R980" s="8"/>
    </row>
    <row r="981">
      <c r="R981" s="8"/>
    </row>
    <row r="982">
      <c r="R982" s="8"/>
    </row>
    <row r="983">
      <c r="R983" s="8"/>
    </row>
    <row r="984">
      <c r="R984" s="8"/>
    </row>
    <row r="985">
      <c r="R985" s="8"/>
    </row>
    <row r="986">
      <c r="R986" s="8"/>
    </row>
    <row r="987">
      <c r="R987" s="8"/>
    </row>
    <row r="988">
      <c r="R988" s="8"/>
    </row>
    <row r="989">
      <c r="R989" s="8"/>
    </row>
    <row r="990">
      <c r="R990" s="8"/>
    </row>
    <row r="991">
      <c r="R991" s="8"/>
    </row>
    <row r="992">
      <c r="R992" s="8"/>
    </row>
    <row r="993">
      <c r="R993" s="8"/>
    </row>
    <row r="994">
      <c r="R994" s="8"/>
    </row>
    <row r="995">
      <c r="R995" s="8"/>
    </row>
    <row r="996">
      <c r="R996" s="8"/>
    </row>
    <row r="997">
      <c r="R997" s="8"/>
    </row>
    <row r="998">
      <c r="R998" s="8"/>
    </row>
    <row r="999">
      <c r="R999" s="8"/>
    </row>
    <row r="1000">
      <c r="R1000" s="8"/>
    </row>
  </sheetData>
  <mergeCells count="15">
    <mergeCell ref="A636:B636"/>
    <mergeCell ref="G636:H636"/>
    <mergeCell ref="G678:H678"/>
    <mergeCell ref="A685:C685"/>
    <mergeCell ref="A715:C715"/>
    <mergeCell ref="A742:C742"/>
    <mergeCell ref="A778:B778"/>
    <mergeCell ref="G778:H778"/>
    <mergeCell ref="X74:Y74"/>
    <mergeCell ref="A131:B131"/>
    <mergeCell ref="A206:B206"/>
    <mergeCell ref="A327:B327"/>
    <mergeCell ref="A367:B367"/>
    <mergeCell ref="A496:B496"/>
    <mergeCell ref="G536:H536"/>
  </mergeCells>
  <conditionalFormatting sqref="Z6:Z22 C214:C232 C335:C355 C504:C524 I504:I524 C646:C665 I646:I666">
    <cfRule type="colorScale" priority="1">
      <colorScale>
        <cfvo type="min"/>
        <cfvo type="max"/>
        <color rgb="FFFFFFFF"/>
        <color rgb="FFFF0000"/>
      </colorScale>
    </cfRule>
  </conditionalFormatting>
  <conditionalFormatting sqref="AB28:AB63 AB65:AB73 E233:E234 E236:E244 E246:E278 E297:E298 E327:E331 E354:E367 E371:E401 E419 E421 E489:E500 E523:E536 K523:K536 E540:E566 K540:K550 C548 I549 C553 K553:K570 E588 K588 E590 K590 E635:E640 K635:K640 E658:E663 E665:E678 K665:K678 E682:E686 K682:K692 C686 I691 K695:K712 E697:E706 E717:E718 K730 K732 C743:C744 E749 E777:E782 K777:K782">
    <cfRule type="colorScale" priority="2">
      <colorScale>
        <cfvo type="min"/>
        <cfvo type="max"/>
        <color rgb="FFFFFFFF"/>
        <color rgb="FFFF0000"/>
      </colorScale>
    </cfRule>
  </conditionalFormatting>
  <conditionalFormatting sqref="B232:B244">
    <cfRule type="colorScale" priority="3">
      <colorScale>
        <cfvo type="min"/>
        <cfvo type="max"/>
        <color rgb="FFFFFFFF"/>
        <color rgb="FFCC0000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6.5"/>
  </cols>
  <sheetData>
    <row r="1">
      <c r="A1" s="108" t="s">
        <v>0</v>
      </c>
      <c r="B1" s="109" t="s">
        <v>487</v>
      </c>
      <c r="C1" s="110"/>
      <c r="D1" s="148"/>
      <c r="E1" s="149"/>
      <c r="F1" s="111"/>
    </row>
    <row r="2">
      <c r="A2" s="143" t="s">
        <v>2</v>
      </c>
      <c r="B2" s="144" t="s">
        <v>488</v>
      </c>
      <c r="C2" s="34" t="s">
        <v>92</v>
      </c>
      <c r="D2" s="150" t="s">
        <v>54</v>
      </c>
      <c r="E2" s="146"/>
      <c r="F2" s="143" t="s">
        <v>2</v>
      </c>
      <c r="G2" s="144" t="s">
        <v>488</v>
      </c>
      <c r="H2" s="34" t="s">
        <v>92</v>
      </c>
      <c r="I2" s="34" t="s">
        <v>54</v>
      </c>
    </row>
    <row r="3">
      <c r="A3" s="6" t="s">
        <v>489</v>
      </c>
      <c r="B3" s="6">
        <v>6000.0</v>
      </c>
      <c r="C3" s="6">
        <v>6000.0</v>
      </c>
      <c r="D3" s="151">
        <v>45755.0</v>
      </c>
      <c r="E3" s="146"/>
      <c r="I3" s="99"/>
    </row>
    <row r="4">
      <c r="A4" s="6" t="s">
        <v>6</v>
      </c>
      <c r="B4" s="6">
        <v>11000.0</v>
      </c>
      <c r="C4" s="6">
        <v>2500.0</v>
      </c>
      <c r="D4" s="151">
        <v>45816.0</v>
      </c>
      <c r="E4" s="146"/>
      <c r="F4" s="6" t="s">
        <v>490</v>
      </c>
      <c r="G4" s="6">
        <v>3500.0</v>
      </c>
    </row>
    <row r="5">
      <c r="A5" s="6" t="s">
        <v>269</v>
      </c>
      <c r="B5" s="6">
        <v>5100.0</v>
      </c>
      <c r="D5" s="151">
        <v>45938.0</v>
      </c>
      <c r="E5" s="146"/>
      <c r="I5" s="99"/>
    </row>
    <row r="6">
      <c r="A6" s="6" t="s">
        <v>4</v>
      </c>
      <c r="B6" s="6">
        <v>10000.0</v>
      </c>
      <c r="D6" s="152"/>
      <c r="E6" s="146"/>
      <c r="I6" s="99"/>
    </row>
    <row r="7">
      <c r="A7" s="6" t="s">
        <v>165</v>
      </c>
      <c r="B7" s="6">
        <v>4000.0</v>
      </c>
      <c r="D7" s="152"/>
      <c r="E7" s="146"/>
    </row>
    <row r="8">
      <c r="A8" s="6" t="s">
        <v>86</v>
      </c>
      <c r="B8" s="6">
        <v>10000.0</v>
      </c>
      <c r="C8" s="6">
        <v>10000.0</v>
      </c>
      <c r="D8" s="150" t="s">
        <v>520</v>
      </c>
      <c r="E8" s="146"/>
      <c r="F8" s="6" t="s">
        <v>521</v>
      </c>
      <c r="G8" s="6">
        <v>12000.0</v>
      </c>
    </row>
    <row r="9">
      <c r="A9" s="6" t="s">
        <v>89</v>
      </c>
      <c r="B9" s="6">
        <v>12000.0</v>
      </c>
      <c r="C9" s="6">
        <v>10500.0</v>
      </c>
      <c r="D9" s="152"/>
      <c r="E9" s="146"/>
      <c r="F9" s="6" t="s">
        <v>522</v>
      </c>
      <c r="G9" s="6">
        <v>8000.0</v>
      </c>
    </row>
    <row r="10">
      <c r="A10" s="6" t="s">
        <v>523</v>
      </c>
      <c r="B10" s="6">
        <v>12000.0</v>
      </c>
      <c r="C10" s="6">
        <v>12000.0</v>
      </c>
      <c r="D10" s="152"/>
      <c r="E10" s="146"/>
      <c r="F10" s="6" t="s">
        <v>524</v>
      </c>
      <c r="G10" s="6">
        <v>12000.0</v>
      </c>
    </row>
    <row r="11">
      <c r="D11" s="152"/>
      <c r="E11" s="146"/>
    </row>
    <row r="12">
      <c r="D12" s="152"/>
      <c r="E12" s="146"/>
    </row>
    <row r="13">
      <c r="D13" s="152"/>
      <c r="E13" s="146"/>
    </row>
    <row r="14">
      <c r="A14" s="6" t="s">
        <v>92</v>
      </c>
      <c r="B14" s="6">
        <v>5923.0</v>
      </c>
      <c r="C14" s="6">
        <v>5923.0</v>
      </c>
      <c r="D14" s="152"/>
      <c r="E14" s="146"/>
      <c r="G14" s="6">
        <v>290.0</v>
      </c>
    </row>
    <row r="15">
      <c r="A15" s="6" t="s">
        <v>491</v>
      </c>
      <c r="B15" s="6">
        <v>440.0</v>
      </c>
      <c r="D15" s="152"/>
      <c r="E15" s="146"/>
    </row>
    <row r="16">
      <c r="A16" s="145" t="s">
        <v>404</v>
      </c>
      <c r="B16" s="142">
        <f>SUM(B3:B15)</f>
        <v>76463</v>
      </c>
      <c r="C16" s="45"/>
      <c r="D16" s="152"/>
      <c r="E16" s="146"/>
      <c r="F16" s="145" t="s">
        <v>404</v>
      </c>
      <c r="G16" s="142">
        <f>SUM(G3:G15)</f>
        <v>35790</v>
      </c>
      <c r="H16" s="45"/>
    </row>
    <row r="17">
      <c r="A17" s="6" t="s">
        <v>492</v>
      </c>
      <c r="B17" s="46">
        <f>SUM(C3:C15)-D116</f>
        <v>24513</v>
      </c>
      <c r="D17" s="152"/>
      <c r="E17" s="146"/>
      <c r="F17" s="6" t="s">
        <v>525</v>
      </c>
      <c r="G17" s="6"/>
    </row>
    <row r="18">
      <c r="A18" s="6" t="s">
        <v>93</v>
      </c>
      <c r="B18" s="6">
        <v>51.0</v>
      </c>
      <c r="D18" s="152"/>
      <c r="E18" s="146"/>
    </row>
    <row r="19">
      <c r="A19" s="53" t="s">
        <v>493</v>
      </c>
      <c r="D19" s="152"/>
      <c r="E19" s="146"/>
      <c r="F19" s="53" t="s">
        <v>514</v>
      </c>
    </row>
    <row r="20">
      <c r="A20" s="6" t="s">
        <v>494</v>
      </c>
      <c r="B20" s="6">
        <v>7600.0</v>
      </c>
      <c r="D20" s="152"/>
      <c r="E20" s="146"/>
      <c r="F20" s="6" t="s">
        <v>334</v>
      </c>
      <c r="G20" s="6">
        <v>300.0</v>
      </c>
      <c r="H20" s="114">
        <v>45871.0</v>
      </c>
    </row>
    <row r="21">
      <c r="A21" s="6" t="s">
        <v>496</v>
      </c>
      <c r="B21" s="6">
        <v>1000.0</v>
      </c>
      <c r="D21" s="152"/>
      <c r="E21" s="146"/>
      <c r="F21" s="6" t="s">
        <v>186</v>
      </c>
      <c r="G21" s="6">
        <v>400.0</v>
      </c>
      <c r="H21" s="114">
        <v>45872.0</v>
      </c>
    </row>
    <row r="22">
      <c r="A22" s="6" t="s">
        <v>497</v>
      </c>
      <c r="B22" s="6">
        <v>1000.0</v>
      </c>
      <c r="D22" s="152"/>
      <c r="E22" s="146"/>
      <c r="F22" s="6" t="s">
        <v>186</v>
      </c>
      <c r="G22" s="6">
        <v>320.0</v>
      </c>
    </row>
    <row r="23">
      <c r="A23" s="6" t="s">
        <v>498</v>
      </c>
      <c r="B23" s="6" t="s">
        <v>210</v>
      </c>
      <c r="D23" s="152"/>
      <c r="E23" s="146"/>
      <c r="F23" s="6" t="s">
        <v>334</v>
      </c>
      <c r="G23" s="6">
        <v>1000.0</v>
      </c>
    </row>
    <row r="24">
      <c r="A24" s="6" t="s">
        <v>202</v>
      </c>
      <c r="B24" s="6">
        <v>300.0</v>
      </c>
      <c r="C24" s="114">
        <v>45870.0</v>
      </c>
      <c r="D24" s="152"/>
      <c r="E24" s="146"/>
      <c r="F24" s="6" t="s">
        <v>334</v>
      </c>
      <c r="G24" s="6">
        <v>200.0</v>
      </c>
      <c r="H24" s="99">
        <v>45969.0</v>
      </c>
    </row>
    <row r="25">
      <c r="B25" s="6">
        <v>100.0</v>
      </c>
      <c r="C25" s="114">
        <v>45875.0</v>
      </c>
      <c r="D25" s="153">
        <v>110.0</v>
      </c>
      <c r="E25" s="146"/>
      <c r="F25" s="6" t="s">
        <v>306</v>
      </c>
      <c r="G25" s="6">
        <v>400.0</v>
      </c>
      <c r="H25" s="99">
        <v>45999.0</v>
      </c>
    </row>
    <row r="26">
      <c r="D26" s="152"/>
      <c r="E26" s="146"/>
      <c r="F26" s="6" t="s">
        <v>306</v>
      </c>
      <c r="G26" s="6">
        <v>600.0</v>
      </c>
      <c r="H26" s="34" t="s">
        <v>526</v>
      </c>
    </row>
    <row r="27">
      <c r="D27" s="152"/>
      <c r="E27" s="146"/>
      <c r="F27" s="6" t="s">
        <v>227</v>
      </c>
      <c r="G27" s="6">
        <v>1000.0</v>
      </c>
    </row>
    <row r="28">
      <c r="B28" s="145" t="s">
        <v>283</v>
      </c>
      <c r="C28" s="142">
        <f>SUM(B20:B27)</f>
        <v>10000</v>
      </c>
      <c r="D28" s="150" t="s">
        <v>499</v>
      </c>
      <c r="E28" s="146">
        <f>15000-C28</f>
        <v>5000</v>
      </c>
      <c r="F28" s="6" t="s">
        <v>527</v>
      </c>
      <c r="G28" s="6">
        <v>200.0</v>
      </c>
      <c r="H28" s="34" t="s">
        <v>528</v>
      </c>
    </row>
    <row r="29">
      <c r="A29" s="53" t="s">
        <v>224</v>
      </c>
      <c r="D29" s="152"/>
      <c r="E29" s="146"/>
      <c r="F29" s="6" t="s">
        <v>186</v>
      </c>
      <c r="G29" s="6">
        <v>200.0</v>
      </c>
      <c r="H29" s="34" t="s">
        <v>529</v>
      </c>
    </row>
    <row r="30">
      <c r="A30" s="6" t="s">
        <v>490</v>
      </c>
      <c r="B30" s="6">
        <v>-3500.0</v>
      </c>
      <c r="D30" s="152"/>
      <c r="E30" s="146"/>
      <c r="F30" s="6" t="s">
        <v>530</v>
      </c>
      <c r="G30" s="6">
        <v>1040.0</v>
      </c>
    </row>
    <row r="31">
      <c r="A31" s="6" t="s">
        <v>334</v>
      </c>
      <c r="B31" s="6">
        <v>300.0</v>
      </c>
      <c r="C31" s="114">
        <v>45871.0</v>
      </c>
      <c r="D31" s="153">
        <v>500.0</v>
      </c>
      <c r="E31" s="146"/>
      <c r="F31" s="6" t="s">
        <v>531</v>
      </c>
      <c r="G31" s="6">
        <v>-500.0</v>
      </c>
    </row>
    <row r="32">
      <c r="A32" s="6" t="s">
        <v>186</v>
      </c>
      <c r="B32" s="6">
        <v>400.0</v>
      </c>
      <c r="C32" s="114">
        <v>45872.0</v>
      </c>
      <c r="D32" s="153">
        <v>500.0</v>
      </c>
      <c r="E32" s="146"/>
      <c r="F32" s="6" t="s">
        <v>532</v>
      </c>
      <c r="G32" s="6">
        <v>8000.0</v>
      </c>
      <c r="H32" s="34" t="s">
        <v>533</v>
      </c>
    </row>
    <row r="33">
      <c r="A33" s="6" t="s">
        <v>186</v>
      </c>
      <c r="B33" s="6">
        <v>320.0</v>
      </c>
      <c r="D33" s="152"/>
      <c r="E33" s="146"/>
      <c r="F33" s="6" t="s">
        <v>534</v>
      </c>
      <c r="G33" s="6">
        <v>100.0</v>
      </c>
    </row>
    <row r="34">
      <c r="A34" s="6" t="s">
        <v>334</v>
      </c>
      <c r="B34" s="6">
        <v>1000.0</v>
      </c>
      <c r="D34" s="153">
        <v>1000.0</v>
      </c>
      <c r="E34" s="146"/>
      <c r="F34" s="6" t="s">
        <v>227</v>
      </c>
      <c r="G34" s="6">
        <v>120.0</v>
      </c>
    </row>
    <row r="35">
      <c r="A35" s="6" t="s">
        <v>334</v>
      </c>
      <c r="B35" s="6">
        <v>200.0</v>
      </c>
      <c r="C35" s="99">
        <v>45969.0</v>
      </c>
      <c r="D35" s="152"/>
      <c r="E35" s="146"/>
      <c r="F35" s="6" t="s">
        <v>186</v>
      </c>
      <c r="G35" s="6">
        <v>270.0</v>
      </c>
    </row>
    <row r="36">
      <c r="A36" s="6" t="s">
        <v>306</v>
      </c>
      <c r="B36" s="6">
        <v>400.0</v>
      </c>
      <c r="C36" s="99">
        <v>45999.0</v>
      </c>
      <c r="D36" s="152"/>
      <c r="E36" s="146"/>
      <c r="F36" s="6" t="s">
        <v>186</v>
      </c>
      <c r="G36" s="6">
        <v>520.0</v>
      </c>
    </row>
    <row r="37">
      <c r="A37" s="6" t="s">
        <v>306</v>
      </c>
      <c r="B37" s="6">
        <v>600.0</v>
      </c>
      <c r="C37" s="34" t="s">
        <v>526</v>
      </c>
      <c r="D37" s="152"/>
      <c r="E37" s="146"/>
      <c r="F37" s="6" t="s">
        <v>535</v>
      </c>
      <c r="G37" s="6">
        <v>8000.0</v>
      </c>
    </row>
    <row r="38">
      <c r="A38" s="6" t="s">
        <v>227</v>
      </c>
      <c r="B38" s="6">
        <v>1000.0</v>
      </c>
      <c r="D38" s="152"/>
      <c r="E38" s="146"/>
      <c r="F38" s="6" t="s">
        <v>536</v>
      </c>
      <c r="G38" s="6">
        <v>10000.0</v>
      </c>
    </row>
    <row r="39">
      <c r="A39" s="6" t="s">
        <v>527</v>
      </c>
      <c r="B39" s="6">
        <v>200.0</v>
      </c>
      <c r="C39" s="34" t="s">
        <v>528</v>
      </c>
      <c r="D39" s="152"/>
      <c r="E39" s="146"/>
    </row>
    <row r="40">
      <c r="B40" s="6">
        <v>200.0</v>
      </c>
      <c r="C40" s="34" t="s">
        <v>529</v>
      </c>
      <c r="D40" s="152"/>
      <c r="E40" s="146"/>
    </row>
    <row r="41">
      <c r="A41" s="6" t="s">
        <v>537</v>
      </c>
      <c r="B41" s="6">
        <v>-500.0</v>
      </c>
      <c r="D41" s="152"/>
      <c r="E41" s="146"/>
      <c r="G41" s="145" t="s">
        <v>283</v>
      </c>
      <c r="H41" s="142">
        <f>SUM(G20:G40)</f>
        <v>32170</v>
      </c>
      <c r="I41" s="34" t="s">
        <v>504</v>
      </c>
      <c r="J41" s="146">
        <f>5000-H41</f>
        <v>-27170</v>
      </c>
    </row>
    <row r="42">
      <c r="A42" s="6" t="s">
        <v>538</v>
      </c>
      <c r="B42" s="6">
        <v>-600.0</v>
      </c>
      <c r="D42" s="152"/>
      <c r="E42" s="146"/>
      <c r="F42" s="53" t="s">
        <v>505</v>
      </c>
    </row>
    <row r="43">
      <c r="B43" s="6">
        <v>-1000.0</v>
      </c>
      <c r="D43" s="152"/>
      <c r="E43" s="146"/>
      <c r="F43" s="6" t="s">
        <v>539</v>
      </c>
      <c r="G43" s="6">
        <v>1400.0</v>
      </c>
      <c r="H43" s="114"/>
    </row>
    <row r="44">
      <c r="A44" s="6" t="s">
        <v>373</v>
      </c>
      <c r="B44" s="6">
        <v>1500.0</v>
      </c>
      <c r="C44" s="34" t="s">
        <v>540</v>
      </c>
      <c r="D44" s="153">
        <v>2000.0</v>
      </c>
      <c r="E44" s="146"/>
      <c r="F44" s="6" t="s">
        <v>541</v>
      </c>
      <c r="G44" s="6">
        <v>140.0</v>
      </c>
      <c r="H44" s="114"/>
    </row>
    <row r="45">
      <c r="A45" s="6" t="s">
        <v>542</v>
      </c>
      <c r="B45" s="6">
        <v>2000.0</v>
      </c>
      <c r="D45" s="153">
        <v>2000.0</v>
      </c>
      <c r="E45" s="146"/>
      <c r="F45" s="6" t="s">
        <v>531</v>
      </c>
      <c r="G45" s="6">
        <v>600.0</v>
      </c>
      <c r="H45" s="114"/>
    </row>
    <row r="46">
      <c r="B46" s="6">
        <v>-6000.0</v>
      </c>
      <c r="D46" s="152"/>
      <c r="E46" s="146"/>
      <c r="G46" s="6">
        <v>1000.0</v>
      </c>
      <c r="H46" s="114"/>
    </row>
    <row r="47">
      <c r="A47" s="6" t="s">
        <v>186</v>
      </c>
      <c r="B47" s="6">
        <v>600.0</v>
      </c>
      <c r="D47" s="152"/>
      <c r="E47" s="146"/>
      <c r="H47" s="114"/>
    </row>
    <row r="48">
      <c r="A48" s="6" t="s">
        <v>116</v>
      </c>
      <c r="B48" s="6">
        <v>200.0</v>
      </c>
      <c r="D48" s="152"/>
      <c r="E48" s="146"/>
    </row>
    <row r="49">
      <c r="A49" s="6" t="s">
        <v>186</v>
      </c>
      <c r="B49" s="6">
        <v>520.0</v>
      </c>
      <c r="D49" s="152"/>
      <c r="E49" s="146"/>
    </row>
    <row r="50">
      <c r="A50" s="6" t="s">
        <v>543</v>
      </c>
      <c r="B50" s="6">
        <v>1016.0</v>
      </c>
      <c r="D50" s="152"/>
      <c r="E50" s="146"/>
    </row>
    <row r="51">
      <c r="A51" s="6" t="s">
        <v>544</v>
      </c>
      <c r="B51" s="6">
        <v>1000.0</v>
      </c>
      <c r="D51" s="152"/>
      <c r="E51" s="146"/>
    </row>
    <row r="52">
      <c r="A52" s="6" t="s">
        <v>186</v>
      </c>
      <c r="B52" s="6">
        <v>200.0</v>
      </c>
      <c r="D52" s="152"/>
      <c r="E52" s="146"/>
    </row>
    <row r="53">
      <c r="A53" s="6" t="s">
        <v>545</v>
      </c>
      <c r="B53" s="6">
        <v>700.0</v>
      </c>
      <c r="D53" s="152"/>
      <c r="E53" s="146"/>
      <c r="H53" s="99"/>
    </row>
    <row r="54">
      <c r="A54" s="6" t="s">
        <v>546</v>
      </c>
      <c r="B54" s="6">
        <v>1650.0</v>
      </c>
      <c r="D54" s="152"/>
      <c r="E54" s="146"/>
      <c r="H54" s="99"/>
    </row>
    <row r="55">
      <c r="A55" s="6" t="s">
        <v>186</v>
      </c>
      <c r="B55" s="6">
        <v>500.0</v>
      </c>
      <c r="D55" s="152"/>
      <c r="E55" s="146">
        <f>5000-C60</f>
        <v>-1406</v>
      </c>
    </row>
    <row r="56">
      <c r="D56" s="152"/>
      <c r="E56" s="146"/>
    </row>
    <row r="57">
      <c r="D57" s="152"/>
      <c r="E57" s="146"/>
      <c r="H57" s="34"/>
    </row>
    <row r="58">
      <c r="D58" s="152"/>
      <c r="E58" s="146"/>
      <c r="H58" s="34"/>
    </row>
    <row r="59">
      <c r="D59" s="153">
        <v>3000.0</v>
      </c>
      <c r="E59" s="146"/>
    </row>
    <row r="60">
      <c r="B60" s="145" t="s">
        <v>283</v>
      </c>
      <c r="C60" s="142">
        <f>SUM(B31:B59)</f>
        <v>6406</v>
      </c>
      <c r="D60" s="150" t="s">
        <v>504</v>
      </c>
      <c r="E60" s="146"/>
    </row>
    <row r="61">
      <c r="A61" s="53" t="s">
        <v>505</v>
      </c>
      <c r="D61" s="152"/>
      <c r="E61" s="146"/>
    </row>
    <row r="62">
      <c r="A62" s="6" t="s">
        <v>496</v>
      </c>
      <c r="B62" s="6">
        <v>1000.0</v>
      </c>
      <c r="C62" s="114">
        <v>45872.0</v>
      </c>
      <c r="D62" s="153">
        <v>1000.0</v>
      </c>
      <c r="E62" s="146"/>
    </row>
    <row r="63">
      <c r="A63" s="6" t="s">
        <v>506</v>
      </c>
      <c r="B63" s="6">
        <v>500.0</v>
      </c>
      <c r="C63" s="114">
        <v>45874.0</v>
      </c>
      <c r="D63" s="153">
        <v>500.0</v>
      </c>
      <c r="E63" s="146"/>
    </row>
    <row r="64">
      <c r="A64" s="6" t="s">
        <v>172</v>
      </c>
      <c r="B64" s="6">
        <v>10700.0</v>
      </c>
      <c r="C64" s="114">
        <v>45875.0</v>
      </c>
      <c r="D64" s="152"/>
      <c r="E64" s="146"/>
      <c r="G64" s="145" t="s">
        <v>283</v>
      </c>
      <c r="H64" s="142">
        <f>SUM(G43:G64)</f>
        <v>3140</v>
      </c>
      <c r="I64" s="34" t="s">
        <v>499</v>
      </c>
      <c r="J64" s="146">
        <f>15000-H64</f>
        <v>11860</v>
      </c>
    </row>
    <row r="65">
      <c r="A65" s="6" t="s">
        <v>507</v>
      </c>
      <c r="B65" s="6">
        <v>140.0</v>
      </c>
      <c r="C65" s="114">
        <v>45875.0</v>
      </c>
      <c r="D65" s="152"/>
      <c r="E65" s="146"/>
    </row>
    <row r="66">
      <c r="A66" s="6" t="s">
        <v>508</v>
      </c>
      <c r="B66" s="6">
        <v>10.0</v>
      </c>
      <c r="C66" s="114">
        <v>45876.0</v>
      </c>
      <c r="D66" s="153">
        <v>1000.0</v>
      </c>
      <c r="E66" s="146"/>
      <c r="F66" s="79"/>
    </row>
    <row r="67">
      <c r="A67" s="6" t="s">
        <v>509</v>
      </c>
      <c r="B67" s="6">
        <v>100.0</v>
      </c>
      <c r="D67" s="152"/>
      <c r="E67" s="146"/>
      <c r="H67" s="114"/>
    </row>
    <row r="68">
      <c r="A68" s="6" t="s">
        <v>510</v>
      </c>
      <c r="B68" s="6">
        <v>80.0</v>
      </c>
      <c r="D68" s="152"/>
      <c r="E68" s="146"/>
      <c r="H68" s="114"/>
    </row>
    <row r="69">
      <c r="A69" s="6" t="s">
        <v>511</v>
      </c>
      <c r="B69" s="6">
        <v>160.0</v>
      </c>
      <c r="D69" s="152"/>
      <c r="E69" s="146"/>
    </row>
    <row r="70">
      <c r="A70" s="6" t="s">
        <v>512</v>
      </c>
      <c r="B70" s="6">
        <v>60.0</v>
      </c>
      <c r="D70" s="152"/>
      <c r="E70" s="146"/>
    </row>
    <row r="71">
      <c r="A71" s="6" t="s">
        <v>513</v>
      </c>
      <c r="B71" s="6">
        <v>200.0</v>
      </c>
      <c r="D71" s="152"/>
      <c r="E71" s="146"/>
      <c r="H71" s="114"/>
    </row>
    <row r="72">
      <c r="A72" s="6" t="s">
        <v>177</v>
      </c>
      <c r="B72" s="6">
        <v>3210.0</v>
      </c>
      <c r="C72" s="99">
        <v>45877.0</v>
      </c>
      <c r="D72" s="153">
        <v>3500.0</v>
      </c>
      <c r="E72" s="146"/>
    </row>
    <row r="73">
      <c r="A73" s="6" t="s">
        <v>547</v>
      </c>
      <c r="B73" s="6">
        <v>50.0</v>
      </c>
      <c r="C73" s="99">
        <v>45938.0</v>
      </c>
      <c r="D73" s="152"/>
      <c r="E73" s="146"/>
    </row>
    <row r="74">
      <c r="A74" s="6" t="s">
        <v>548</v>
      </c>
      <c r="B74" s="6">
        <v>270.0</v>
      </c>
      <c r="D74" s="152"/>
      <c r="E74" s="146"/>
    </row>
    <row r="75">
      <c r="A75" s="6" t="s">
        <v>427</v>
      </c>
      <c r="B75" s="6">
        <v>100.0</v>
      </c>
      <c r="D75" s="152"/>
      <c r="E75" s="146"/>
      <c r="H75" s="34"/>
    </row>
    <row r="76">
      <c r="A76" s="6" t="s">
        <v>549</v>
      </c>
      <c r="B76" s="6">
        <v>1150.0</v>
      </c>
      <c r="C76" s="34" t="s">
        <v>526</v>
      </c>
      <c r="D76" s="152"/>
      <c r="E76" s="146"/>
    </row>
    <row r="77">
      <c r="A77" s="6" t="s">
        <v>331</v>
      </c>
      <c r="B77" s="6">
        <v>150.0</v>
      </c>
      <c r="C77" s="34" t="s">
        <v>533</v>
      </c>
      <c r="D77" s="152"/>
      <c r="E77" s="146"/>
    </row>
    <row r="78">
      <c r="A78" s="6" t="s">
        <v>538</v>
      </c>
      <c r="B78" s="6">
        <v>40.0</v>
      </c>
      <c r="D78" s="152"/>
      <c r="E78" s="146"/>
    </row>
    <row r="79">
      <c r="A79" s="6" t="s">
        <v>550</v>
      </c>
      <c r="B79" s="6">
        <v>295.0</v>
      </c>
      <c r="D79" s="152"/>
      <c r="E79" s="146"/>
    </row>
    <row r="80">
      <c r="A80" s="6" t="s">
        <v>551</v>
      </c>
      <c r="B80" s="6">
        <v>80.0</v>
      </c>
      <c r="D80" s="152"/>
      <c r="E80" s="146"/>
    </row>
    <row r="81">
      <c r="A81" s="6" t="s">
        <v>552</v>
      </c>
      <c r="B81" s="6">
        <v>110.0</v>
      </c>
      <c r="D81" s="152"/>
      <c r="E81" s="146"/>
    </row>
    <row r="82">
      <c r="A82" s="6" t="s">
        <v>331</v>
      </c>
      <c r="B82" s="6">
        <v>145.0</v>
      </c>
      <c r="D82" s="152"/>
      <c r="E82" s="146"/>
      <c r="G82" s="79"/>
      <c r="H82" s="45"/>
      <c r="I82" s="34"/>
      <c r="J82" s="146"/>
    </row>
    <row r="83">
      <c r="A83" s="6" t="s">
        <v>553</v>
      </c>
      <c r="B83" s="6">
        <v>1000.0</v>
      </c>
      <c r="D83" s="152"/>
      <c r="E83" s="146"/>
      <c r="F83" s="53" t="s">
        <v>515</v>
      </c>
      <c r="G83" s="44">
        <f>SUM(G17:G82)</f>
        <v>35310</v>
      </c>
      <c r="H83" s="147" t="s">
        <v>516</v>
      </c>
      <c r="I83" s="45">
        <f>SUM(I19:I82)</f>
        <v>0</v>
      </c>
    </row>
    <row r="84">
      <c r="A84" s="6" t="s">
        <v>554</v>
      </c>
      <c r="B84" s="6">
        <v>425.0</v>
      </c>
      <c r="D84" s="152"/>
      <c r="E84" s="146">
        <f>15000-C89</f>
        <v>-5045</v>
      </c>
      <c r="H84" s="79" t="s">
        <v>517</v>
      </c>
      <c r="I84" s="45" t="str">
        <f>G17</f>
        <v/>
      </c>
    </row>
    <row r="85">
      <c r="A85" s="6" t="s">
        <v>555</v>
      </c>
      <c r="B85" s="6">
        <v>70.0</v>
      </c>
      <c r="D85" s="152"/>
      <c r="E85" s="146"/>
      <c r="H85" s="79" t="s">
        <v>518</v>
      </c>
      <c r="I85" s="46">
        <f>I83+I84</f>
        <v>0</v>
      </c>
    </row>
    <row r="86">
      <c r="D86" s="152"/>
      <c r="E86" s="146"/>
      <c r="H86" s="79" t="s">
        <v>519</v>
      </c>
      <c r="I86" s="46">
        <f>G83-I85</f>
        <v>35310</v>
      </c>
    </row>
    <row r="87">
      <c r="D87" s="152"/>
      <c r="E87" s="146"/>
      <c r="I87" s="154">
        <f>sum(I85:I86)</f>
        <v>35310</v>
      </c>
    </row>
    <row r="88">
      <c r="D88" s="152"/>
      <c r="E88" s="146"/>
      <c r="F88" s="145" t="s">
        <v>49</v>
      </c>
      <c r="G88" s="142">
        <f>G16-G83</f>
        <v>480</v>
      </c>
      <c r="H88" s="6">
        <v>7480.0</v>
      </c>
    </row>
    <row r="89">
      <c r="B89" s="145" t="s">
        <v>283</v>
      </c>
      <c r="C89" s="142">
        <f>SUM(B62:B88)</f>
        <v>20045</v>
      </c>
      <c r="D89" s="150" t="s">
        <v>499</v>
      </c>
      <c r="E89" s="146"/>
      <c r="H89" s="46">
        <f>G88-H88</f>
        <v>-7000</v>
      </c>
    </row>
    <row r="90">
      <c r="A90" s="53" t="s">
        <v>514</v>
      </c>
      <c r="D90" s="152"/>
      <c r="E90" s="146"/>
    </row>
    <row r="91">
      <c r="A91" s="6" t="s">
        <v>500</v>
      </c>
      <c r="B91" s="6">
        <v>1630.0</v>
      </c>
      <c r="D91" s="153">
        <v>1500.0</v>
      </c>
      <c r="E91" s="146"/>
    </row>
    <row r="92">
      <c r="A92" s="6" t="s">
        <v>556</v>
      </c>
      <c r="B92" s="6">
        <v>100.0</v>
      </c>
      <c r="C92" s="114">
        <v>45875.0</v>
      </c>
      <c r="D92" s="152"/>
      <c r="E92" s="146"/>
    </row>
    <row r="93">
      <c r="A93" s="6" t="s">
        <v>502</v>
      </c>
      <c r="B93" s="6">
        <v>80.0</v>
      </c>
      <c r="C93" s="114">
        <v>45876.0</v>
      </c>
      <c r="D93" s="152"/>
      <c r="E93" s="146"/>
    </row>
    <row r="94">
      <c r="A94" s="6" t="s">
        <v>503</v>
      </c>
      <c r="B94" s="6">
        <v>60.0</v>
      </c>
      <c r="D94" s="152"/>
      <c r="E94" s="146"/>
    </row>
    <row r="95">
      <c r="A95" s="6" t="s">
        <v>557</v>
      </c>
      <c r="B95" s="6">
        <v>490.0</v>
      </c>
      <c r="C95" s="34" t="s">
        <v>528</v>
      </c>
      <c r="D95" s="152"/>
      <c r="E95" s="146"/>
    </row>
    <row r="96">
      <c r="A96" s="6" t="s">
        <v>558</v>
      </c>
      <c r="B96" s="6">
        <v>190.0</v>
      </c>
      <c r="C96" s="34" t="s">
        <v>529</v>
      </c>
      <c r="D96" s="152"/>
      <c r="E96" s="146"/>
    </row>
    <row r="97">
      <c r="A97" s="6" t="s">
        <v>559</v>
      </c>
      <c r="B97" s="6">
        <v>35.0</v>
      </c>
      <c r="D97" s="152"/>
      <c r="E97" s="146"/>
    </row>
    <row r="98">
      <c r="A98" s="6" t="s">
        <v>560</v>
      </c>
      <c r="B98" s="6">
        <v>300.0</v>
      </c>
      <c r="D98" s="152"/>
      <c r="E98" s="146"/>
    </row>
    <row r="99">
      <c r="A99" s="6" t="s">
        <v>561</v>
      </c>
      <c r="B99" s="6">
        <v>165.0</v>
      </c>
      <c r="D99" s="152"/>
      <c r="E99" s="146"/>
    </row>
    <row r="100">
      <c r="A100" s="6" t="s">
        <v>562</v>
      </c>
      <c r="B100" s="6">
        <v>5000.0</v>
      </c>
      <c r="D100" s="153">
        <v>5000.0</v>
      </c>
      <c r="E100" s="146"/>
    </row>
    <row r="101">
      <c r="A101" s="6" t="s">
        <v>563</v>
      </c>
      <c r="B101" s="6">
        <v>500.0</v>
      </c>
      <c r="D101" s="152"/>
      <c r="E101" s="146"/>
    </row>
    <row r="102">
      <c r="A102" s="6" t="s">
        <v>564</v>
      </c>
      <c r="B102" s="6">
        <f>100+120</f>
        <v>220</v>
      </c>
      <c r="D102" s="152"/>
      <c r="E102" s="146"/>
    </row>
    <row r="103">
      <c r="A103" s="6" t="s">
        <v>565</v>
      </c>
      <c r="B103" s="46">
        <f>15+120+10</f>
        <v>145</v>
      </c>
      <c r="D103" s="152"/>
      <c r="E103" s="146"/>
    </row>
    <row r="104">
      <c r="D104" s="152"/>
      <c r="E104" s="146"/>
    </row>
    <row r="105">
      <c r="C105" s="46">
        <f>SUM(B91:B101)</f>
        <v>8550</v>
      </c>
      <c r="D105" s="153">
        <v>300.0</v>
      </c>
      <c r="E105" s="146"/>
    </row>
    <row r="106">
      <c r="A106" s="6" t="s">
        <v>116</v>
      </c>
      <c r="B106" s="6">
        <v>300.0</v>
      </c>
      <c r="C106" s="114">
        <v>45871.0</v>
      </c>
      <c r="D106" s="153">
        <v>500.0</v>
      </c>
      <c r="E106" s="146"/>
    </row>
    <row r="107">
      <c r="A107" s="6" t="s">
        <v>72</v>
      </c>
      <c r="B107" s="6">
        <v>20.0</v>
      </c>
      <c r="C107" s="114">
        <v>45876.0</v>
      </c>
      <c r="D107" s="152"/>
      <c r="E107" s="146"/>
    </row>
    <row r="108">
      <c r="A108" s="6" t="s">
        <v>566</v>
      </c>
      <c r="B108" s="6">
        <v>92.0</v>
      </c>
      <c r="D108" s="152"/>
      <c r="E108" s="146"/>
    </row>
    <row r="109">
      <c r="A109" s="6" t="s">
        <v>116</v>
      </c>
      <c r="B109" s="6">
        <v>100.0</v>
      </c>
      <c r="D109" s="152"/>
      <c r="E109" s="146"/>
    </row>
    <row r="110">
      <c r="A110" s="6" t="s">
        <v>567</v>
      </c>
      <c r="B110" s="6">
        <v>3600.0</v>
      </c>
      <c r="D110" s="152"/>
      <c r="E110" s="146">
        <f>5000-C115</f>
        <v>-13238</v>
      </c>
    </row>
    <row r="111">
      <c r="A111" s="6" t="s">
        <v>568</v>
      </c>
      <c r="B111" s="6">
        <v>120.0</v>
      </c>
      <c r="D111" s="152"/>
      <c r="E111" s="146"/>
    </row>
    <row r="112">
      <c r="A112" s="6" t="s">
        <v>116</v>
      </c>
      <c r="B112" s="6">
        <v>100.0</v>
      </c>
      <c r="D112" s="152"/>
      <c r="E112" s="146"/>
    </row>
    <row r="113">
      <c r="B113" s="6">
        <v>1439.0</v>
      </c>
      <c r="D113" s="152"/>
      <c r="E113" s="146"/>
    </row>
    <row r="114">
      <c r="A114" s="6" t="s">
        <v>186</v>
      </c>
      <c r="B114" s="6">
        <v>3552.0</v>
      </c>
      <c r="D114" s="152"/>
      <c r="E114" s="146"/>
    </row>
    <row r="115">
      <c r="B115" s="145" t="s">
        <v>283</v>
      </c>
      <c r="C115" s="142">
        <f>SUM(B91:B114)</f>
        <v>18238</v>
      </c>
      <c r="D115" s="150" t="s">
        <v>504</v>
      </c>
      <c r="E115" s="146"/>
    </row>
    <row r="116">
      <c r="A116" s="53" t="s">
        <v>515</v>
      </c>
      <c r="B116" s="44">
        <f>SUM(B17:B115)</f>
        <v>75753</v>
      </c>
      <c r="C116" s="147" t="s">
        <v>516</v>
      </c>
      <c r="D116" s="152">
        <f>SUM(D19:D115)</f>
        <v>22410</v>
      </c>
      <c r="E116" s="146"/>
    </row>
    <row r="117">
      <c r="C117" s="79" t="s">
        <v>517</v>
      </c>
      <c r="D117" s="152">
        <f>B17</f>
        <v>24513</v>
      </c>
      <c r="E117" s="146"/>
    </row>
    <row r="118">
      <c r="C118" s="79" t="s">
        <v>518</v>
      </c>
      <c r="D118" s="152">
        <f>D116+D117</f>
        <v>46923</v>
      </c>
      <c r="E118" s="146"/>
    </row>
    <row r="119">
      <c r="C119" s="79" t="s">
        <v>519</v>
      </c>
      <c r="D119" s="152">
        <f>B116-D118</f>
        <v>28830</v>
      </c>
      <c r="E119" s="146"/>
    </row>
    <row r="120">
      <c r="D120" s="155">
        <f>sum(D118:D119)</f>
        <v>75753</v>
      </c>
      <c r="E120" s="146"/>
    </row>
    <row r="121">
      <c r="A121" s="145" t="s">
        <v>49</v>
      </c>
      <c r="B121" s="142">
        <f>B16-B116</f>
        <v>710</v>
      </c>
      <c r="C121" s="6">
        <v>710.0</v>
      </c>
      <c r="D121" s="152"/>
      <c r="E121" s="146"/>
    </row>
    <row r="122">
      <c r="C122" s="46">
        <f>B121-C121</f>
        <v>0</v>
      </c>
      <c r="D122" s="152"/>
      <c r="E122" s="146"/>
    </row>
    <row r="123">
      <c r="D123" s="152"/>
      <c r="E123" s="146"/>
    </row>
    <row r="124">
      <c r="A124" s="108" t="s">
        <v>0</v>
      </c>
      <c r="B124" s="109" t="s">
        <v>569</v>
      </c>
      <c r="C124" s="110"/>
      <c r="D124" s="148"/>
      <c r="E124" s="149"/>
    </row>
    <row r="125">
      <c r="A125" s="143" t="s">
        <v>2</v>
      </c>
      <c r="B125" s="144" t="s">
        <v>570</v>
      </c>
      <c r="C125" s="34" t="s">
        <v>92</v>
      </c>
      <c r="D125" s="150" t="s">
        <v>54</v>
      </c>
      <c r="E125" s="146"/>
    </row>
    <row r="126">
      <c r="A126" s="6" t="s">
        <v>489</v>
      </c>
      <c r="B126" s="6">
        <v>15000.0</v>
      </c>
      <c r="C126" s="6">
        <v>15000.0</v>
      </c>
      <c r="D126" s="151">
        <v>45725.0</v>
      </c>
      <c r="E126" s="146"/>
    </row>
    <row r="127">
      <c r="A127" s="6" t="s">
        <v>6</v>
      </c>
      <c r="B127" s="6">
        <v>11000.0</v>
      </c>
      <c r="C127" s="6">
        <v>6500.0</v>
      </c>
      <c r="D127" s="151">
        <v>45725.0</v>
      </c>
      <c r="E127" s="146"/>
    </row>
    <row r="128">
      <c r="A128" s="6" t="s">
        <v>4</v>
      </c>
      <c r="B128" s="6">
        <v>10000.0</v>
      </c>
      <c r="C128" s="6">
        <v>10000.0</v>
      </c>
      <c r="D128" s="151"/>
      <c r="E128" s="146"/>
    </row>
    <row r="129">
      <c r="A129" s="6" t="s">
        <v>571</v>
      </c>
      <c r="B129" s="6">
        <v>10000.0</v>
      </c>
      <c r="D129" s="152"/>
      <c r="E129" s="146"/>
    </row>
    <row r="130">
      <c r="A130" s="6" t="s">
        <v>10</v>
      </c>
      <c r="B130" s="6">
        <v>12000.0</v>
      </c>
      <c r="D130" s="152"/>
      <c r="E130" s="146"/>
    </row>
    <row r="131">
      <c r="A131" s="6" t="s">
        <v>572</v>
      </c>
      <c r="B131" s="6">
        <v>10000.0</v>
      </c>
      <c r="D131" s="150"/>
      <c r="E131" s="146"/>
    </row>
    <row r="132">
      <c r="A132" s="6" t="s">
        <v>166</v>
      </c>
      <c r="D132" s="152"/>
      <c r="E132" s="146"/>
    </row>
    <row r="133">
      <c r="A133" s="6" t="s">
        <v>388</v>
      </c>
      <c r="D133" s="152"/>
      <c r="E133" s="146"/>
    </row>
    <row r="134">
      <c r="A134" s="6" t="s">
        <v>10</v>
      </c>
      <c r="B134" s="6">
        <v>12000.0</v>
      </c>
      <c r="C134" s="6">
        <v>8000.0</v>
      </c>
      <c r="D134" s="152"/>
      <c r="E134" s="146"/>
    </row>
    <row r="135">
      <c r="D135" s="152"/>
      <c r="E135" s="146"/>
    </row>
    <row r="136">
      <c r="D136" s="152"/>
      <c r="E136" s="146"/>
    </row>
    <row r="137">
      <c r="A137" s="6" t="s">
        <v>92</v>
      </c>
      <c r="B137" s="6">
        <v>24513.0</v>
      </c>
      <c r="C137" s="6">
        <v>24513.0</v>
      </c>
      <c r="D137" s="152"/>
      <c r="E137" s="146"/>
    </row>
    <row r="138">
      <c r="A138" s="6" t="s">
        <v>491</v>
      </c>
      <c r="B138" s="6">
        <v>710.0</v>
      </c>
      <c r="D138" s="152"/>
      <c r="E138" s="146"/>
    </row>
    <row r="139">
      <c r="A139" s="145" t="s">
        <v>404</v>
      </c>
      <c r="B139" s="142">
        <f>SUM(B126:B138)</f>
        <v>105223</v>
      </c>
      <c r="C139" s="45"/>
      <c r="D139" s="152"/>
      <c r="E139" s="146"/>
    </row>
    <row r="140">
      <c r="A140" s="6" t="s">
        <v>492</v>
      </c>
      <c r="B140" s="46">
        <f>SUM(C126:C138)-D239</f>
        <v>4153.32</v>
      </c>
      <c r="D140" s="152"/>
      <c r="E140" s="146"/>
    </row>
    <row r="141">
      <c r="A141" s="6" t="s">
        <v>93</v>
      </c>
      <c r="B141" s="6">
        <v>3.0</v>
      </c>
      <c r="D141" s="152"/>
      <c r="E141" s="146"/>
    </row>
    <row r="142">
      <c r="A142" s="53" t="s">
        <v>493</v>
      </c>
      <c r="D142" s="152"/>
      <c r="E142" s="146"/>
    </row>
    <row r="143">
      <c r="A143" s="6" t="s">
        <v>494</v>
      </c>
      <c r="B143" s="6">
        <v>11100.0</v>
      </c>
      <c r="D143" s="153">
        <v>11000.0</v>
      </c>
      <c r="E143" s="146"/>
    </row>
    <row r="144">
      <c r="A144" s="6" t="s">
        <v>496</v>
      </c>
      <c r="D144" s="152"/>
      <c r="E144" s="146"/>
    </row>
    <row r="145">
      <c r="A145" s="6" t="s">
        <v>497</v>
      </c>
      <c r="B145" s="6">
        <v>200.0</v>
      </c>
      <c r="D145" s="152"/>
      <c r="E145" s="146"/>
    </row>
    <row r="146">
      <c r="A146" s="6" t="s">
        <v>498</v>
      </c>
      <c r="D146" s="152"/>
      <c r="E146" s="146"/>
    </row>
    <row r="147">
      <c r="C147" s="114"/>
      <c r="D147" s="152"/>
      <c r="E147" s="146"/>
    </row>
    <row r="148">
      <c r="A148" s="6" t="s">
        <v>573</v>
      </c>
      <c r="B148" s="6">
        <v>1300.0</v>
      </c>
      <c r="C148" s="114"/>
      <c r="D148" s="152"/>
      <c r="E148" s="146"/>
    </row>
    <row r="149">
      <c r="A149" s="6" t="s">
        <v>574</v>
      </c>
      <c r="B149" s="6">
        <v>4130.0</v>
      </c>
      <c r="D149" s="153">
        <v>5049.68</v>
      </c>
      <c r="E149" s="146"/>
    </row>
    <row r="150">
      <c r="A150" s="6" t="s">
        <v>575</v>
      </c>
      <c r="B150" s="6">
        <v>700.0</v>
      </c>
      <c r="D150" s="152"/>
      <c r="E150" s="146"/>
    </row>
    <row r="151">
      <c r="A151" s="6" t="s">
        <v>576</v>
      </c>
      <c r="B151" s="6">
        <v>900.0</v>
      </c>
      <c r="D151" s="152"/>
      <c r="E151" s="146"/>
    </row>
    <row r="152">
      <c r="B152" s="6">
        <v>150.0</v>
      </c>
      <c r="D152" s="152"/>
      <c r="E152" s="146"/>
    </row>
    <row r="153">
      <c r="A153" s="156" t="s">
        <v>577</v>
      </c>
      <c r="B153" s="157">
        <v>500.0</v>
      </c>
      <c r="D153" s="152"/>
      <c r="E153" s="146"/>
    </row>
    <row r="154">
      <c r="A154" s="156"/>
      <c r="B154" s="157">
        <v>60.0</v>
      </c>
      <c r="D154" s="152"/>
      <c r="E154" s="146"/>
    </row>
    <row r="155">
      <c r="D155" s="152"/>
      <c r="E155" s="146"/>
    </row>
    <row r="156">
      <c r="B156" s="145" t="s">
        <v>283</v>
      </c>
      <c r="C156" s="142">
        <f>SUM(B143:B156)</f>
        <v>19040</v>
      </c>
      <c r="D156" s="150" t="s">
        <v>499</v>
      </c>
      <c r="E156" s="146">
        <f>15000-C156</f>
        <v>-4040</v>
      </c>
    </row>
    <row r="157">
      <c r="A157" s="53" t="s">
        <v>224</v>
      </c>
      <c r="D157" s="152"/>
      <c r="E157" s="146"/>
    </row>
    <row r="158">
      <c r="A158" s="6" t="s">
        <v>578</v>
      </c>
      <c r="B158" s="6">
        <v>10000.0</v>
      </c>
      <c r="D158" s="153">
        <v>10030.0</v>
      </c>
      <c r="E158" s="146"/>
    </row>
    <row r="159">
      <c r="A159" s="6" t="s">
        <v>579</v>
      </c>
      <c r="B159" s="6">
        <v>180.0</v>
      </c>
      <c r="D159" s="153">
        <v>4000.0</v>
      </c>
      <c r="E159" s="146"/>
    </row>
    <row r="160">
      <c r="A160" s="6" t="s">
        <v>580</v>
      </c>
      <c r="B160" s="6">
        <v>2000.0</v>
      </c>
      <c r="D160" s="152"/>
      <c r="E160" s="146"/>
    </row>
    <row r="161">
      <c r="A161" s="6" t="s">
        <v>581</v>
      </c>
      <c r="B161" s="6">
        <v>120.0</v>
      </c>
      <c r="C161" s="99"/>
      <c r="D161" s="152"/>
      <c r="E161" s="146"/>
    </row>
    <row r="162">
      <c r="A162" s="6" t="s">
        <v>582</v>
      </c>
      <c r="B162" s="6">
        <v>1000.0</v>
      </c>
      <c r="D162" s="152"/>
      <c r="E162" s="146"/>
    </row>
    <row r="163">
      <c r="A163" s="6" t="s">
        <v>583</v>
      </c>
      <c r="B163" s="6">
        <v>1655.0</v>
      </c>
      <c r="D163" s="152"/>
      <c r="E163" s="146"/>
    </row>
    <row r="164">
      <c r="A164" s="6" t="s">
        <v>584</v>
      </c>
      <c r="B164" s="6">
        <v>1920.0</v>
      </c>
      <c r="D164" s="152"/>
      <c r="E164" s="146"/>
    </row>
    <row r="165">
      <c r="A165" s="6" t="s">
        <v>585</v>
      </c>
      <c r="B165" s="6">
        <v>3000.0</v>
      </c>
      <c r="D165" s="152"/>
      <c r="E165" s="146"/>
    </row>
    <row r="166">
      <c r="A166" s="6"/>
      <c r="B166" s="6">
        <v>215.0</v>
      </c>
      <c r="D166" s="152"/>
      <c r="E166" s="146"/>
    </row>
    <row r="167">
      <c r="A167" s="6" t="s">
        <v>586</v>
      </c>
      <c r="B167" s="6">
        <v>100.0</v>
      </c>
      <c r="D167" s="152"/>
      <c r="E167" s="146"/>
    </row>
    <row r="168">
      <c r="A168" s="6" t="s">
        <v>227</v>
      </c>
      <c r="B168" s="6">
        <v>2230.0</v>
      </c>
      <c r="D168" s="153">
        <v>2500.0</v>
      </c>
      <c r="E168" s="146"/>
    </row>
    <row r="169">
      <c r="A169" s="6" t="s">
        <v>587</v>
      </c>
      <c r="B169" s="6">
        <v>320.0</v>
      </c>
      <c r="C169" s="6" t="s">
        <v>588</v>
      </c>
      <c r="D169" s="153">
        <v>1000.0</v>
      </c>
      <c r="E169" s="146"/>
    </row>
    <row r="170">
      <c r="A170" s="6" t="s">
        <v>186</v>
      </c>
      <c r="B170" s="6">
        <v>500.0</v>
      </c>
      <c r="C170" s="99">
        <v>45666.0</v>
      </c>
      <c r="D170" s="152"/>
      <c r="E170" s="146"/>
    </row>
    <row r="171">
      <c r="B171" s="6">
        <v>-200.0</v>
      </c>
      <c r="C171" s="114"/>
      <c r="D171" s="152"/>
      <c r="E171" s="146"/>
    </row>
    <row r="172">
      <c r="A172" s="6" t="s">
        <v>186</v>
      </c>
      <c r="B172" s="6">
        <v>500.0</v>
      </c>
      <c r="C172" s="99"/>
      <c r="D172" s="153">
        <v>500.0</v>
      </c>
      <c r="E172" s="146"/>
    </row>
    <row r="173">
      <c r="A173" s="6" t="s">
        <v>306</v>
      </c>
      <c r="B173" s="6">
        <v>2000.0</v>
      </c>
      <c r="C173" s="99">
        <v>45725.0</v>
      </c>
      <c r="D173" s="152"/>
      <c r="E173" s="146"/>
    </row>
    <row r="174">
      <c r="A174" s="6" t="s">
        <v>186</v>
      </c>
      <c r="B174" s="6">
        <v>500.0</v>
      </c>
      <c r="D174" s="153">
        <v>500.0</v>
      </c>
      <c r="E174" s="146"/>
    </row>
    <row r="175">
      <c r="B175" s="6">
        <v>-150.0</v>
      </c>
      <c r="D175" s="152"/>
      <c r="E175" s="146"/>
    </row>
    <row r="176">
      <c r="A176" s="6" t="s">
        <v>186</v>
      </c>
      <c r="B176" s="6">
        <v>200.0</v>
      </c>
      <c r="D176" s="152"/>
      <c r="E176" s="146"/>
    </row>
    <row r="177">
      <c r="B177" s="6">
        <v>500.0</v>
      </c>
      <c r="C177" s="99">
        <v>45909.0</v>
      </c>
      <c r="D177" s="153">
        <v>500.0</v>
      </c>
      <c r="E177" s="146"/>
    </row>
    <row r="178">
      <c r="A178" s="6" t="s">
        <v>589</v>
      </c>
      <c r="B178" s="6">
        <v>300.0</v>
      </c>
      <c r="D178" s="152"/>
      <c r="E178" s="146"/>
    </row>
    <row r="179">
      <c r="A179" s="6" t="s">
        <v>186</v>
      </c>
      <c r="B179" s="6">
        <v>200.0</v>
      </c>
      <c r="D179" s="152"/>
      <c r="E179" s="146"/>
    </row>
    <row r="180">
      <c r="A180" s="6" t="s">
        <v>116</v>
      </c>
      <c r="B180" s="6">
        <v>300.0</v>
      </c>
      <c r="D180" s="153">
        <v>300.0</v>
      </c>
      <c r="E180" s="146"/>
      <c r="G180" s="6" t="s">
        <v>590</v>
      </c>
      <c r="H180" s="6">
        <v>7200.0</v>
      </c>
      <c r="I180" s="6">
        <v>4000.0</v>
      </c>
    </row>
    <row r="181">
      <c r="A181" s="6" t="s">
        <v>186</v>
      </c>
      <c r="B181" s="6">
        <v>100.0</v>
      </c>
      <c r="D181" s="153">
        <v>4000.0</v>
      </c>
      <c r="E181" s="146"/>
      <c r="G181" s="6" t="s">
        <v>591</v>
      </c>
      <c r="H181" s="6">
        <v>1500.0</v>
      </c>
      <c r="I181" s="6">
        <v>1500.0</v>
      </c>
    </row>
    <row r="182">
      <c r="A182" s="6" t="s">
        <v>592</v>
      </c>
      <c r="B182" s="6">
        <v>4000.0</v>
      </c>
      <c r="D182" s="152"/>
      <c r="E182" s="146"/>
      <c r="G182" s="6" t="s">
        <v>593</v>
      </c>
      <c r="H182" s="6">
        <v>1200.0</v>
      </c>
      <c r="I182" s="6">
        <v>1200.0</v>
      </c>
    </row>
    <row r="183">
      <c r="A183" s="6" t="s">
        <v>186</v>
      </c>
      <c r="B183" s="6">
        <v>500.0</v>
      </c>
      <c r="D183" s="153">
        <v>500.0</v>
      </c>
      <c r="E183" s="146"/>
      <c r="G183" s="6" t="s">
        <v>34</v>
      </c>
      <c r="H183" s="6">
        <v>500.0</v>
      </c>
      <c r="I183" s="6">
        <v>600.0</v>
      </c>
    </row>
    <row r="184">
      <c r="A184" s="6" t="s">
        <v>592</v>
      </c>
      <c r="B184" s="6">
        <v>16000.0</v>
      </c>
      <c r="D184" s="153">
        <v>6000.0</v>
      </c>
      <c r="E184" s="146"/>
      <c r="G184" s="6" t="s">
        <v>594</v>
      </c>
      <c r="H184" s="6">
        <v>1100.0</v>
      </c>
      <c r="I184" s="6">
        <v>1300.0</v>
      </c>
    </row>
    <row r="185">
      <c r="B185" s="6">
        <v>500.0</v>
      </c>
      <c r="D185" s="152"/>
      <c r="E185" s="146"/>
      <c r="G185" s="6" t="s">
        <v>34</v>
      </c>
      <c r="H185" s="6">
        <v>2000.0</v>
      </c>
      <c r="I185" s="6">
        <v>2500.0</v>
      </c>
    </row>
    <row r="186">
      <c r="A186" s="6" t="s">
        <v>595</v>
      </c>
      <c r="B186" s="6">
        <v>1500.0</v>
      </c>
      <c r="D186" s="153">
        <v>1500.0</v>
      </c>
      <c r="E186" s="146"/>
      <c r="H186" s="158">
        <f t="shared" ref="H186:I186" si="1">SUM(H180:H185)</f>
        <v>13500</v>
      </c>
      <c r="I186" s="159">
        <f t="shared" si="1"/>
        <v>11100</v>
      </c>
    </row>
    <row r="187">
      <c r="B187" s="6">
        <v>2000.0</v>
      </c>
      <c r="D187" s="153">
        <v>2000.0</v>
      </c>
      <c r="E187" s="146"/>
    </row>
    <row r="188">
      <c r="B188" s="6">
        <v>200.0</v>
      </c>
      <c r="D188" s="152"/>
      <c r="E188" s="146"/>
    </row>
    <row r="189">
      <c r="B189" s="6">
        <v>300.0</v>
      </c>
      <c r="D189" s="152"/>
      <c r="E189" s="146"/>
    </row>
    <row r="190">
      <c r="B190" s="145" t="s">
        <v>283</v>
      </c>
      <c r="C190" s="142">
        <f>SUM(B170:B184)</f>
        <v>25250</v>
      </c>
      <c r="D190" s="150" t="s">
        <v>504</v>
      </c>
      <c r="E190" s="146">
        <f>5000-C190</f>
        <v>-20250</v>
      </c>
    </row>
    <row r="191">
      <c r="A191" s="53" t="s">
        <v>505</v>
      </c>
      <c r="D191" s="152"/>
      <c r="E191" s="146"/>
    </row>
    <row r="192">
      <c r="A192" s="6" t="s">
        <v>596</v>
      </c>
      <c r="B192" s="6">
        <v>500.0</v>
      </c>
      <c r="C192" s="114"/>
      <c r="D192" s="153">
        <v>3000.0</v>
      </c>
      <c r="E192" s="146"/>
    </row>
    <row r="193">
      <c r="A193" s="6" t="s">
        <v>279</v>
      </c>
      <c r="B193" s="6">
        <v>11000.0</v>
      </c>
      <c r="C193" s="114"/>
      <c r="D193" s="152"/>
      <c r="E193" s="146"/>
    </row>
    <row r="194">
      <c r="A194" s="6" t="s">
        <v>597</v>
      </c>
      <c r="B194" s="6">
        <v>1200.0</v>
      </c>
      <c r="C194" s="114"/>
      <c r="D194" s="152"/>
      <c r="E194" s="146"/>
    </row>
    <row r="195">
      <c r="A195" s="6" t="s">
        <v>598</v>
      </c>
      <c r="B195" s="6">
        <v>280.0</v>
      </c>
      <c r="C195" s="114"/>
      <c r="D195" s="152"/>
      <c r="E195" s="146"/>
    </row>
    <row r="196">
      <c r="A196" s="6" t="s">
        <v>599</v>
      </c>
      <c r="B196" s="6">
        <v>350.0</v>
      </c>
      <c r="C196" s="114"/>
      <c r="D196" s="152"/>
      <c r="E196" s="146"/>
    </row>
    <row r="197">
      <c r="A197" s="6" t="s">
        <v>600</v>
      </c>
      <c r="B197" s="6">
        <v>1750.0</v>
      </c>
      <c r="D197" s="152"/>
      <c r="E197" s="146"/>
    </row>
    <row r="198">
      <c r="A198" s="6" t="s">
        <v>601</v>
      </c>
      <c r="B198" s="6">
        <v>740.0</v>
      </c>
      <c r="D198" s="153">
        <v>740.0</v>
      </c>
      <c r="E198" s="146"/>
    </row>
    <row r="199">
      <c r="A199" s="6" t="s">
        <v>602</v>
      </c>
      <c r="B199" s="6">
        <v>100.0</v>
      </c>
      <c r="D199" s="152"/>
      <c r="E199" s="146"/>
    </row>
    <row r="200">
      <c r="A200" s="6" t="s">
        <v>603</v>
      </c>
      <c r="B200" s="6">
        <v>145.0</v>
      </c>
      <c r="C200" s="99"/>
      <c r="D200" s="152"/>
      <c r="E200" s="146"/>
    </row>
    <row r="201">
      <c r="A201" s="6" t="s">
        <v>604</v>
      </c>
      <c r="B201" s="6">
        <v>20.0</v>
      </c>
      <c r="D201" s="152"/>
      <c r="E201" s="146"/>
    </row>
    <row r="202">
      <c r="A202" s="6" t="s">
        <v>605</v>
      </c>
      <c r="B202" s="6">
        <v>145.0</v>
      </c>
      <c r="D202" s="152"/>
      <c r="E202" s="146"/>
    </row>
    <row r="203">
      <c r="A203" s="6" t="s">
        <v>606</v>
      </c>
      <c r="B203" s="6">
        <v>1000.0</v>
      </c>
      <c r="D203" s="153">
        <v>1000.0</v>
      </c>
      <c r="E203" s="146"/>
    </row>
    <row r="204">
      <c r="A204" s="6" t="s">
        <v>607</v>
      </c>
      <c r="B204" s="6">
        <v>850.0</v>
      </c>
      <c r="D204" s="152"/>
      <c r="E204" s="146"/>
    </row>
    <row r="205">
      <c r="A205" s="6" t="s">
        <v>427</v>
      </c>
      <c r="B205" s="6">
        <v>130.0</v>
      </c>
      <c r="D205" s="152"/>
      <c r="E205" s="146"/>
    </row>
    <row r="206">
      <c r="A206" s="6" t="s">
        <v>608</v>
      </c>
      <c r="B206" s="6">
        <v>470.0</v>
      </c>
      <c r="D206" s="152"/>
      <c r="E206" s="146"/>
    </row>
    <row r="207">
      <c r="A207" s="6" t="s">
        <v>186</v>
      </c>
      <c r="B207" s="6">
        <v>250.0</v>
      </c>
      <c r="D207" s="152"/>
      <c r="E207" s="146"/>
    </row>
    <row r="208">
      <c r="A208" s="6" t="s">
        <v>549</v>
      </c>
      <c r="B208" s="6">
        <v>1150.0</v>
      </c>
      <c r="D208" s="152"/>
      <c r="E208" s="146"/>
    </row>
    <row r="209">
      <c r="A209" s="6" t="s">
        <v>609</v>
      </c>
      <c r="B209" s="6">
        <v>730.0</v>
      </c>
      <c r="D209" s="152"/>
      <c r="E209" s="146"/>
    </row>
    <row r="210">
      <c r="A210" s="6" t="s">
        <v>610</v>
      </c>
      <c r="B210" s="6">
        <v>380.0</v>
      </c>
      <c r="D210" s="152"/>
      <c r="E210" s="146"/>
    </row>
    <row r="211">
      <c r="A211" s="6" t="s">
        <v>611</v>
      </c>
      <c r="B211" s="6">
        <v>1000.0</v>
      </c>
      <c r="D211" s="153">
        <v>1000.0</v>
      </c>
      <c r="E211" s="146"/>
    </row>
    <row r="212">
      <c r="B212" s="6">
        <v>400.0</v>
      </c>
      <c r="D212" s="153">
        <v>1000.0</v>
      </c>
      <c r="E212" s="146"/>
    </row>
    <row r="213">
      <c r="A213" s="6" t="s">
        <v>371</v>
      </c>
      <c r="B213" s="6">
        <v>420.0</v>
      </c>
      <c r="D213" s="153">
        <v>500.0</v>
      </c>
      <c r="E213" s="146"/>
    </row>
    <row r="214">
      <c r="D214" s="152"/>
      <c r="E214" s="146"/>
    </row>
    <row r="215">
      <c r="B215" s="145" t="s">
        <v>283</v>
      </c>
      <c r="C215" s="142">
        <f>SUM(B192:B214)</f>
        <v>23010</v>
      </c>
      <c r="D215" s="150" t="s">
        <v>499</v>
      </c>
      <c r="E215" s="146">
        <f>15000-C215</f>
        <v>-8010</v>
      </c>
    </row>
    <row r="216">
      <c r="A216" s="53" t="s">
        <v>514</v>
      </c>
      <c r="D216" s="152"/>
      <c r="E216" s="146"/>
    </row>
    <row r="217">
      <c r="A217" s="6" t="s">
        <v>612</v>
      </c>
      <c r="B217" s="6">
        <v>700.0</v>
      </c>
      <c r="D217" s="153">
        <v>500.0</v>
      </c>
      <c r="E217" s="146"/>
    </row>
    <row r="218">
      <c r="B218" s="6">
        <v>70.0</v>
      </c>
      <c r="C218" s="114"/>
      <c r="D218" s="152"/>
      <c r="E218" s="146"/>
    </row>
    <row r="219">
      <c r="B219" s="6">
        <v>20.0</v>
      </c>
      <c r="C219" s="114"/>
      <c r="D219" s="152"/>
      <c r="E219" s="146"/>
    </row>
    <row r="220">
      <c r="A220" s="6" t="s">
        <v>613</v>
      </c>
      <c r="B220" s="6">
        <v>81.68</v>
      </c>
      <c r="D220" s="152"/>
      <c r="E220" s="146"/>
    </row>
    <row r="221">
      <c r="A221" s="6" t="s">
        <v>614</v>
      </c>
      <c r="B221" s="6">
        <v>320.0</v>
      </c>
      <c r="C221" s="34"/>
      <c r="D221" s="153">
        <v>240.0</v>
      </c>
      <c r="E221" s="146"/>
    </row>
    <row r="222">
      <c r="A222" s="6" t="s">
        <v>116</v>
      </c>
      <c r="B222" s="6">
        <v>240.0</v>
      </c>
      <c r="C222" s="34"/>
      <c r="D222" s="153">
        <v>500.0</v>
      </c>
      <c r="E222" s="146"/>
    </row>
    <row r="223">
      <c r="B223" s="6">
        <v>250.0</v>
      </c>
      <c r="D223" s="153">
        <v>500.0</v>
      </c>
      <c r="E223" s="146"/>
    </row>
    <row r="224">
      <c r="D224" s="153">
        <v>1000.0</v>
      </c>
      <c r="E224" s="146"/>
    </row>
    <row r="225">
      <c r="D225" s="153">
        <v>500.0</v>
      </c>
      <c r="E225" s="146"/>
    </row>
    <row r="226">
      <c r="D226" s="152"/>
      <c r="E226" s="146"/>
    </row>
    <row r="227">
      <c r="D227" s="152"/>
      <c r="E227" s="146"/>
    </row>
    <row r="228">
      <c r="D228" s="152"/>
      <c r="E228" s="146"/>
    </row>
    <row r="229">
      <c r="C229" s="114"/>
      <c r="D229" s="152"/>
      <c r="E229" s="146"/>
    </row>
    <row r="230">
      <c r="C230" s="114"/>
      <c r="D230" s="152"/>
      <c r="E230" s="146"/>
    </row>
    <row r="231">
      <c r="D231" s="152"/>
      <c r="E231" s="146"/>
    </row>
    <row r="232">
      <c r="D232" s="152"/>
      <c r="E232" s="146"/>
    </row>
    <row r="233">
      <c r="D233" s="152"/>
      <c r="E233" s="146"/>
    </row>
    <row r="234">
      <c r="D234" s="152"/>
      <c r="E234" s="146"/>
    </row>
    <row r="235">
      <c r="D235" s="152"/>
      <c r="E235" s="146"/>
    </row>
    <row r="236">
      <c r="B236" s="6">
        <v>515.0</v>
      </c>
      <c r="D236" s="152"/>
      <c r="E236" s="146"/>
    </row>
    <row r="237">
      <c r="A237" s="6" t="s">
        <v>186</v>
      </c>
      <c r="B237" s="6">
        <v>3670.0</v>
      </c>
      <c r="D237" s="152"/>
      <c r="E237" s="146"/>
    </row>
    <row r="238">
      <c r="B238" s="145" t="s">
        <v>283</v>
      </c>
      <c r="C238" s="142">
        <f>SUM(B217:B237)</f>
        <v>5866.68</v>
      </c>
      <c r="D238" s="150" t="s">
        <v>504</v>
      </c>
      <c r="E238" s="146">
        <f>5000-C238</f>
        <v>-866.68</v>
      </c>
    </row>
    <row r="239">
      <c r="A239" s="53" t="s">
        <v>515</v>
      </c>
      <c r="B239" s="44">
        <f>SUM(B140:B238)</f>
        <v>104563</v>
      </c>
      <c r="C239" s="147" t="s">
        <v>516</v>
      </c>
      <c r="D239" s="152">
        <f>SUM(D142:D238)</f>
        <v>59859.68</v>
      </c>
      <c r="E239" s="146"/>
    </row>
    <row r="240">
      <c r="C240" s="79" t="s">
        <v>517</v>
      </c>
      <c r="D240" s="152">
        <f>B140</f>
        <v>4153.32</v>
      </c>
      <c r="E240" s="146"/>
    </row>
    <row r="241">
      <c r="C241" s="79" t="s">
        <v>518</v>
      </c>
      <c r="D241" s="152">
        <f>D239+D240</f>
        <v>64013</v>
      </c>
      <c r="E241" s="146"/>
    </row>
    <row r="242">
      <c r="C242" s="79" t="s">
        <v>519</v>
      </c>
      <c r="D242" s="152">
        <f>B239-D241</f>
        <v>40550</v>
      </c>
      <c r="E242" s="146"/>
    </row>
    <row r="243">
      <c r="D243" s="155">
        <f>sum(D241:D242)</f>
        <v>104563</v>
      </c>
      <c r="E243" s="146"/>
    </row>
    <row r="244">
      <c r="A244" s="145" t="s">
        <v>49</v>
      </c>
      <c r="B244" s="142">
        <f>B139-B239</f>
        <v>660</v>
      </c>
      <c r="C244" s="6">
        <v>80.0</v>
      </c>
      <c r="D244" s="152"/>
      <c r="E244" s="146"/>
    </row>
    <row r="245">
      <c r="C245" s="46">
        <f>B244-C244</f>
        <v>580</v>
      </c>
      <c r="D245" s="152"/>
      <c r="E245" s="146"/>
    </row>
    <row r="246">
      <c r="A246" s="108" t="s">
        <v>0</v>
      </c>
      <c r="B246" s="109" t="s">
        <v>615</v>
      </c>
      <c r="C246" s="110"/>
      <c r="D246" s="148"/>
      <c r="E246" s="149"/>
    </row>
    <row r="247">
      <c r="A247" s="143" t="s">
        <v>2</v>
      </c>
      <c r="B247" s="144" t="s">
        <v>616</v>
      </c>
      <c r="C247" s="160" t="s">
        <v>92</v>
      </c>
      <c r="E247" s="34" t="s">
        <v>54</v>
      </c>
    </row>
    <row r="248">
      <c r="A248" s="6" t="s">
        <v>6</v>
      </c>
      <c r="B248" s="6">
        <v>11000.0</v>
      </c>
      <c r="C248" s="161">
        <v>11000.0</v>
      </c>
      <c r="E248" s="162"/>
    </row>
    <row r="249">
      <c r="A249" s="6" t="s">
        <v>4</v>
      </c>
      <c r="B249" s="6">
        <v>10000.0</v>
      </c>
      <c r="C249" s="161">
        <v>5000.0</v>
      </c>
      <c r="E249" s="162"/>
    </row>
    <row r="250">
      <c r="A250" s="6" t="s">
        <v>617</v>
      </c>
      <c r="B250" s="6">
        <v>15000.0</v>
      </c>
      <c r="C250" s="161">
        <v>14000.0</v>
      </c>
      <c r="E250" s="162"/>
    </row>
    <row r="251">
      <c r="A251" s="6" t="s">
        <v>618</v>
      </c>
      <c r="B251" s="6">
        <v>11000.0</v>
      </c>
      <c r="C251" s="163"/>
      <c r="E251" s="164"/>
    </row>
    <row r="252">
      <c r="A252" s="6" t="s">
        <v>490</v>
      </c>
      <c r="B252" s="6">
        <v>9000.0</v>
      </c>
      <c r="C252" s="163"/>
      <c r="E252" s="164"/>
    </row>
    <row r="253">
      <c r="A253" s="6" t="s">
        <v>619</v>
      </c>
      <c r="B253" s="6">
        <v>12000.0</v>
      </c>
      <c r="C253" s="161"/>
      <c r="D253" s="153">
        <v>12000.0</v>
      </c>
      <c r="E253" s="165">
        <v>45910.0</v>
      </c>
    </row>
    <row r="254">
      <c r="A254" s="6" t="s">
        <v>620</v>
      </c>
      <c r="B254" s="6">
        <v>12000.0</v>
      </c>
      <c r="C254" s="163"/>
      <c r="D254" s="153">
        <v>12000.0</v>
      </c>
      <c r="E254" s="166" t="s">
        <v>621</v>
      </c>
    </row>
    <row r="255">
      <c r="A255" s="6" t="s">
        <v>622</v>
      </c>
      <c r="B255" s="6">
        <v>4000.0</v>
      </c>
      <c r="C255" s="161"/>
      <c r="D255" s="152"/>
      <c r="E255" s="167"/>
    </row>
    <row r="256">
      <c r="A256" s="6" t="s">
        <v>623</v>
      </c>
      <c r="B256" s="6">
        <v>10000.0</v>
      </c>
      <c r="C256" s="161">
        <v>9500.0</v>
      </c>
      <c r="D256" s="152"/>
      <c r="E256" s="168" t="s">
        <v>624</v>
      </c>
    </row>
    <row r="257">
      <c r="A257" s="6" t="s">
        <v>625</v>
      </c>
      <c r="B257" s="6">
        <v>10000.0</v>
      </c>
      <c r="C257" s="161">
        <v>9000.0</v>
      </c>
      <c r="D257" s="152"/>
      <c r="E257" s="167"/>
    </row>
    <row r="258">
      <c r="A258" s="6" t="s">
        <v>92</v>
      </c>
      <c r="B258" s="6">
        <v>4153.0</v>
      </c>
      <c r="C258" s="161">
        <v>4153.0</v>
      </c>
      <c r="D258" s="152"/>
      <c r="E258" s="167"/>
    </row>
    <row r="259">
      <c r="A259" s="6" t="s">
        <v>491</v>
      </c>
      <c r="C259" s="163"/>
      <c r="D259" s="152"/>
      <c r="E259" s="167"/>
    </row>
    <row r="260">
      <c r="A260" s="169" t="s">
        <v>626</v>
      </c>
      <c r="B260" s="170"/>
      <c r="C260" s="169">
        <v>24000.0</v>
      </c>
      <c r="D260" s="152"/>
      <c r="E260" s="167"/>
    </row>
    <row r="261">
      <c r="A261" s="145" t="s">
        <v>404</v>
      </c>
      <c r="B261" s="142">
        <f>SUM(B248:B260)</f>
        <v>108153</v>
      </c>
      <c r="C261" s="45"/>
      <c r="D261" s="152"/>
      <c r="E261" s="146"/>
    </row>
    <row r="262">
      <c r="A262" s="6" t="s">
        <v>627</v>
      </c>
      <c r="B262" s="46">
        <f>SUM(C248:C259)-D361</f>
        <v>18273</v>
      </c>
      <c r="D262" s="152"/>
      <c r="E262" s="146"/>
    </row>
    <row r="263">
      <c r="A263" s="169" t="s">
        <v>626</v>
      </c>
      <c r="B263" s="170">
        <f>C260-E361</f>
        <v>0</v>
      </c>
      <c r="D263" s="152"/>
      <c r="E263" s="146"/>
    </row>
    <row r="264">
      <c r="A264" s="6" t="s">
        <v>93</v>
      </c>
      <c r="B264" s="6">
        <v>25.0</v>
      </c>
      <c r="D264" s="152"/>
      <c r="E264" s="146"/>
    </row>
    <row r="265">
      <c r="A265" s="53" t="s">
        <v>493</v>
      </c>
      <c r="D265" s="152"/>
      <c r="E265" s="146"/>
    </row>
    <row r="266">
      <c r="A266" s="6" t="s">
        <v>497</v>
      </c>
      <c r="B266" s="6">
        <v>8000.0</v>
      </c>
      <c r="D266" s="152"/>
      <c r="E266" s="171">
        <v>8000.0</v>
      </c>
    </row>
    <row r="267">
      <c r="A267" s="6" t="s">
        <v>628</v>
      </c>
      <c r="B267" s="6">
        <v>200.0</v>
      </c>
      <c r="C267" s="114"/>
      <c r="D267" s="152"/>
      <c r="E267" s="146"/>
    </row>
    <row r="268">
      <c r="A268" s="6" t="s">
        <v>629</v>
      </c>
      <c r="B268" s="6">
        <v>500.0</v>
      </c>
      <c r="C268" s="6" t="s">
        <v>630</v>
      </c>
      <c r="D268" s="152"/>
      <c r="E268" s="146"/>
    </row>
    <row r="269">
      <c r="B269" s="6">
        <v>200.0</v>
      </c>
      <c r="D269" s="152"/>
      <c r="E269" s="171">
        <v>200.0</v>
      </c>
    </row>
    <row r="270">
      <c r="A270" s="6" t="s">
        <v>631</v>
      </c>
      <c r="B270" s="6">
        <v>1000.0</v>
      </c>
    </row>
    <row r="273">
      <c r="B273" s="145" t="s">
        <v>283</v>
      </c>
      <c r="C273" s="142">
        <f>SUM(B266:B269)</f>
        <v>8900</v>
      </c>
      <c r="E273" s="150" t="s">
        <v>499</v>
      </c>
      <c r="F273" s="146">
        <f>15000-C273</f>
        <v>6100</v>
      </c>
    </row>
    <row r="274">
      <c r="A274" s="53" t="s">
        <v>224</v>
      </c>
      <c r="D274" s="152"/>
      <c r="E274" s="146"/>
    </row>
    <row r="275">
      <c r="B275" s="6">
        <v>500.0</v>
      </c>
      <c r="C275" s="115">
        <v>45667.0</v>
      </c>
      <c r="D275" s="153">
        <v>500.0</v>
      </c>
      <c r="E275" s="146"/>
    </row>
    <row r="276">
      <c r="B276" s="6">
        <v>500.0</v>
      </c>
      <c r="C276" s="115">
        <v>45787.0</v>
      </c>
      <c r="D276" s="153">
        <v>500.0</v>
      </c>
      <c r="E276" s="146"/>
    </row>
    <row r="277">
      <c r="B277" s="6">
        <v>500.0</v>
      </c>
      <c r="C277" s="172">
        <v>45818.0</v>
      </c>
      <c r="D277" s="153">
        <v>500.0</v>
      </c>
      <c r="E277" s="146"/>
    </row>
    <row r="278">
      <c r="B278" s="6">
        <v>330.0</v>
      </c>
      <c r="D278" s="152"/>
      <c r="E278" s="146"/>
    </row>
    <row r="279">
      <c r="A279" s="6" t="s">
        <v>632</v>
      </c>
      <c r="B279" s="6">
        <v>400.0</v>
      </c>
      <c r="D279" s="152"/>
      <c r="E279" s="146"/>
    </row>
    <row r="280">
      <c r="A280" s="6" t="s">
        <v>180</v>
      </c>
      <c r="B280" s="6">
        <v>3000.0</v>
      </c>
      <c r="C280" s="99"/>
      <c r="D280" s="152"/>
      <c r="E280" s="146"/>
    </row>
    <row r="281">
      <c r="A281" s="6" t="s">
        <v>633</v>
      </c>
      <c r="B281" s="6">
        <v>180.0</v>
      </c>
      <c r="C281" s="99"/>
      <c r="D281" s="152"/>
      <c r="E281" s="146"/>
    </row>
    <row r="282">
      <c r="B282" s="6">
        <v>220.0</v>
      </c>
      <c r="C282" s="99"/>
      <c r="D282" s="152"/>
      <c r="E282" s="146"/>
    </row>
    <row r="283">
      <c r="A283" s="6" t="s">
        <v>634</v>
      </c>
      <c r="B283" s="6">
        <v>1000.0</v>
      </c>
      <c r="C283" s="173">
        <v>45971.0</v>
      </c>
      <c r="D283" s="152"/>
      <c r="E283" s="146"/>
    </row>
    <row r="284">
      <c r="A284" s="6" t="s">
        <v>635</v>
      </c>
      <c r="B284" s="6">
        <v>1140.0</v>
      </c>
      <c r="C284" s="34"/>
      <c r="D284" s="152"/>
      <c r="E284" s="146"/>
    </row>
    <row r="285">
      <c r="B285" s="6">
        <v>330.0</v>
      </c>
      <c r="C285" s="34"/>
      <c r="D285" s="152"/>
      <c r="E285" s="171">
        <v>300.0</v>
      </c>
    </row>
    <row r="286">
      <c r="B286" s="6">
        <v>200.0</v>
      </c>
      <c r="D286" s="152"/>
      <c r="E286" s="171"/>
    </row>
    <row r="287">
      <c r="B287" s="6">
        <v>100.0</v>
      </c>
      <c r="D287" s="152"/>
      <c r="E287" s="171"/>
    </row>
    <row r="288">
      <c r="B288" s="6">
        <v>50.0</v>
      </c>
      <c r="D288" s="152"/>
    </row>
    <row r="289">
      <c r="B289" s="6">
        <v>400.0</v>
      </c>
      <c r="D289" s="152"/>
      <c r="E289" s="171">
        <v>400.0</v>
      </c>
    </row>
    <row r="290">
      <c r="B290" s="6">
        <v>100.0</v>
      </c>
      <c r="D290" s="152"/>
      <c r="E290" s="171">
        <v>100.0</v>
      </c>
    </row>
    <row r="291">
      <c r="B291" s="6">
        <v>500.0</v>
      </c>
      <c r="D291" s="153">
        <v>500.0</v>
      </c>
      <c r="E291" s="146"/>
    </row>
    <row r="292">
      <c r="B292" s="6">
        <v>300.0</v>
      </c>
      <c r="C292" s="34"/>
      <c r="D292" s="152"/>
      <c r="E292" s="171">
        <v>300.0</v>
      </c>
    </row>
    <row r="293">
      <c r="B293" s="6">
        <v>400.0</v>
      </c>
      <c r="E293" s="171">
        <v>400.0</v>
      </c>
    </row>
    <row r="294">
      <c r="B294" s="6">
        <v>380.0</v>
      </c>
      <c r="E294" s="171">
        <v>3000.0</v>
      </c>
    </row>
    <row r="295">
      <c r="A295" s="6" t="s">
        <v>636</v>
      </c>
      <c r="B295" s="6">
        <v>1790.0</v>
      </c>
      <c r="E295" s="171">
        <v>1790.0</v>
      </c>
    </row>
    <row r="296">
      <c r="B296" s="6">
        <v>1100.0</v>
      </c>
      <c r="E296" s="171">
        <v>400.0</v>
      </c>
    </row>
    <row r="297">
      <c r="B297" s="6">
        <v>300.0</v>
      </c>
      <c r="E297" s="171">
        <v>200.0</v>
      </c>
    </row>
    <row r="298">
      <c r="B298" s="6">
        <v>400.0</v>
      </c>
      <c r="D298" s="152"/>
      <c r="E298" s="171">
        <v>200.0</v>
      </c>
    </row>
    <row r="299">
      <c r="B299" s="6">
        <v>500.0</v>
      </c>
      <c r="D299" s="152"/>
      <c r="E299" s="171">
        <v>200.0</v>
      </c>
    </row>
    <row r="300">
      <c r="B300" s="6">
        <v>500.0</v>
      </c>
      <c r="D300" s="152"/>
      <c r="E300" s="171">
        <v>100.0</v>
      </c>
    </row>
    <row r="301">
      <c r="B301" s="6">
        <v>250.0</v>
      </c>
      <c r="D301" s="152"/>
      <c r="E301" s="171">
        <v>310.0</v>
      </c>
    </row>
    <row r="302">
      <c r="B302" s="6">
        <v>150.0</v>
      </c>
      <c r="D302" s="152"/>
      <c r="E302" s="171">
        <v>400.0</v>
      </c>
    </row>
    <row r="303">
      <c r="A303" s="6" t="s">
        <v>116</v>
      </c>
      <c r="B303" s="6">
        <v>30.0</v>
      </c>
      <c r="D303" s="152"/>
      <c r="E303" s="146"/>
    </row>
    <row r="304">
      <c r="B304" s="6">
        <v>550.0</v>
      </c>
      <c r="D304" s="152"/>
      <c r="E304" s="146"/>
    </row>
    <row r="305">
      <c r="B305" s="145" t="s">
        <v>283</v>
      </c>
      <c r="C305" s="142">
        <f>SUM(B276:B304)</f>
        <v>15600</v>
      </c>
      <c r="E305" s="150" t="s">
        <v>504</v>
      </c>
      <c r="F305" s="146">
        <f>5000-C305</f>
        <v>-10600</v>
      </c>
    </row>
    <row r="306">
      <c r="A306" s="53" t="s">
        <v>505</v>
      </c>
      <c r="D306" s="152"/>
      <c r="E306" s="146"/>
    </row>
    <row r="307">
      <c r="A307" s="6" t="s">
        <v>177</v>
      </c>
      <c r="B307" s="6">
        <v>5760.0</v>
      </c>
      <c r="C307" s="114"/>
      <c r="D307" s="152"/>
      <c r="E307" s="146"/>
    </row>
    <row r="308">
      <c r="A308" s="6" t="s">
        <v>637</v>
      </c>
      <c r="B308" s="6">
        <v>500.0</v>
      </c>
      <c r="C308" s="114"/>
      <c r="D308" s="152"/>
      <c r="E308" s="146"/>
    </row>
    <row r="309">
      <c r="A309" s="6" t="s">
        <v>331</v>
      </c>
      <c r="B309" s="6">
        <v>150.0</v>
      </c>
      <c r="C309" s="114"/>
      <c r="D309" s="152"/>
      <c r="E309" s="146"/>
    </row>
    <row r="310">
      <c r="A310" s="6" t="s">
        <v>278</v>
      </c>
      <c r="B310" s="6">
        <v>10700.0</v>
      </c>
      <c r="C310" s="114">
        <v>45879.0</v>
      </c>
      <c r="D310" s="152"/>
      <c r="E310" s="146"/>
    </row>
    <row r="311">
      <c r="A311" s="6" t="s">
        <v>638</v>
      </c>
      <c r="B311" s="6">
        <v>25.0</v>
      </c>
      <c r="C311" s="114"/>
      <c r="D311" s="152"/>
      <c r="E311" s="146"/>
    </row>
    <row r="312">
      <c r="A312" s="6" t="s">
        <v>639</v>
      </c>
      <c r="B312" s="6">
        <v>330.0</v>
      </c>
      <c r="D312" s="152"/>
      <c r="E312" s="146"/>
    </row>
    <row r="313">
      <c r="A313" s="6" t="s">
        <v>640</v>
      </c>
      <c r="B313" s="6">
        <v>200.0</v>
      </c>
      <c r="D313" s="152"/>
      <c r="E313" s="146"/>
    </row>
    <row r="314">
      <c r="B314" s="6">
        <v>20.0</v>
      </c>
      <c r="D314" s="152"/>
      <c r="E314" s="146"/>
    </row>
    <row r="315">
      <c r="A315" s="6" t="s">
        <v>641</v>
      </c>
      <c r="B315" s="6">
        <v>100.0</v>
      </c>
      <c r="D315" s="152"/>
      <c r="E315" s="146"/>
    </row>
    <row r="316">
      <c r="B316" s="6">
        <v>45.0</v>
      </c>
      <c r="D316" s="152"/>
      <c r="E316" s="146"/>
    </row>
    <row r="317">
      <c r="A317" s="6" t="s">
        <v>331</v>
      </c>
      <c r="B317" s="6">
        <v>150.0</v>
      </c>
      <c r="C317" s="99"/>
      <c r="D317" s="152"/>
      <c r="E317" s="171">
        <v>200.0</v>
      </c>
    </row>
    <row r="318">
      <c r="A318" s="6" t="s">
        <v>331</v>
      </c>
      <c r="B318" s="6">
        <v>150.0</v>
      </c>
      <c r="C318" s="99"/>
      <c r="D318" s="152"/>
      <c r="E318" s="146"/>
    </row>
    <row r="319">
      <c r="B319" s="6">
        <v>2630.0</v>
      </c>
      <c r="D319" s="152"/>
      <c r="E319" s="146"/>
    </row>
    <row r="320">
      <c r="A320" s="6" t="s">
        <v>642</v>
      </c>
      <c r="B320" s="6">
        <v>170.0</v>
      </c>
      <c r="D320" s="152"/>
      <c r="E320" s="146"/>
    </row>
    <row r="321">
      <c r="A321" s="6" t="s">
        <v>307</v>
      </c>
      <c r="B321" s="6">
        <v>70.0</v>
      </c>
      <c r="C321" s="34"/>
      <c r="D321" s="152"/>
      <c r="E321" s="146"/>
    </row>
    <row r="322">
      <c r="A322" s="6" t="s">
        <v>643</v>
      </c>
      <c r="B322" s="6">
        <v>40.0</v>
      </c>
      <c r="C322" s="34"/>
      <c r="D322" s="152"/>
      <c r="E322" s="146"/>
    </row>
    <row r="323">
      <c r="A323" s="6" t="s">
        <v>644</v>
      </c>
      <c r="B323" s="6">
        <v>90.0</v>
      </c>
      <c r="D323" s="152"/>
      <c r="E323" s="146"/>
    </row>
    <row r="324">
      <c r="A324" s="6" t="s">
        <v>421</v>
      </c>
      <c r="B324" s="6">
        <v>580.0</v>
      </c>
      <c r="D324" s="152"/>
      <c r="E324" s="171">
        <v>600.0</v>
      </c>
    </row>
    <row r="325">
      <c r="A325" s="6" t="s">
        <v>427</v>
      </c>
      <c r="B325" s="6">
        <v>130.0</v>
      </c>
      <c r="D325" s="152"/>
      <c r="E325" s="171">
        <v>200.0</v>
      </c>
    </row>
    <row r="326">
      <c r="A326" s="6" t="s">
        <v>177</v>
      </c>
      <c r="B326" s="6">
        <v>180.0</v>
      </c>
      <c r="D326" s="152"/>
    </row>
    <row r="327">
      <c r="A327" s="6" t="s">
        <v>371</v>
      </c>
      <c r="B327" s="6">
        <v>400.0</v>
      </c>
      <c r="D327" s="152"/>
      <c r="E327" s="146"/>
    </row>
    <row r="328">
      <c r="A328" s="6" t="s">
        <v>331</v>
      </c>
      <c r="B328" s="6">
        <v>150.0</v>
      </c>
      <c r="D328" s="152"/>
      <c r="E328" s="146"/>
    </row>
    <row r="329">
      <c r="A329" s="6" t="s">
        <v>427</v>
      </c>
      <c r="B329" s="6">
        <v>130.0</v>
      </c>
      <c r="D329" s="152"/>
      <c r="E329" s="146"/>
    </row>
    <row r="330">
      <c r="A330" s="6" t="s">
        <v>645</v>
      </c>
      <c r="B330" s="6">
        <v>450.0</v>
      </c>
      <c r="D330" s="152"/>
      <c r="E330" s="146"/>
    </row>
    <row r="331">
      <c r="A331" s="6" t="s">
        <v>431</v>
      </c>
      <c r="B331" s="6">
        <v>30.0</v>
      </c>
      <c r="D331" s="152"/>
      <c r="E331" s="146"/>
    </row>
    <row r="332">
      <c r="A332" s="6" t="s">
        <v>439</v>
      </c>
      <c r="B332" s="6">
        <v>1000.0</v>
      </c>
      <c r="D332" s="153">
        <v>1000.0</v>
      </c>
      <c r="E332" s="146"/>
    </row>
    <row r="333">
      <c r="D333" s="152"/>
      <c r="E333" s="146"/>
    </row>
    <row r="334">
      <c r="B334" s="145" t="s">
        <v>283</v>
      </c>
      <c r="C334" s="142">
        <f>SUM(B307:B334)</f>
        <v>24180</v>
      </c>
      <c r="E334" s="150" t="s">
        <v>499</v>
      </c>
      <c r="F334" s="146">
        <f>15000-C334</f>
        <v>-9180</v>
      </c>
    </row>
    <row r="335">
      <c r="A335" s="53" t="s">
        <v>514</v>
      </c>
      <c r="D335" s="152"/>
      <c r="E335" s="146"/>
    </row>
    <row r="336">
      <c r="B336" s="6">
        <v>500.0</v>
      </c>
      <c r="C336" s="115">
        <v>45667.0</v>
      </c>
      <c r="D336" s="153">
        <v>500.0</v>
      </c>
      <c r="E336" s="146"/>
    </row>
    <row r="337">
      <c r="B337" s="6">
        <v>500.0</v>
      </c>
      <c r="C337" s="115">
        <v>45787.0</v>
      </c>
      <c r="D337" s="153">
        <v>500.0</v>
      </c>
      <c r="E337" s="146"/>
    </row>
    <row r="338">
      <c r="A338" s="6" t="s">
        <v>646</v>
      </c>
      <c r="B338" s="6">
        <v>130.0</v>
      </c>
      <c r="C338" s="115">
        <v>45787.0</v>
      </c>
      <c r="D338" s="153">
        <v>130.0</v>
      </c>
      <c r="E338" s="146"/>
    </row>
    <row r="339">
      <c r="B339" s="6">
        <v>130.0</v>
      </c>
      <c r="C339" s="115">
        <v>45879.0</v>
      </c>
      <c r="D339" s="152"/>
      <c r="E339" s="146"/>
    </row>
    <row r="340">
      <c r="B340" s="6">
        <v>170.0</v>
      </c>
      <c r="C340" s="115">
        <v>45879.0</v>
      </c>
      <c r="D340" s="152"/>
      <c r="E340" s="146"/>
    </row>
    <row r="341">
      <c r="A341" s="6" t="s">
        <v>116</v>
      </c>
      <c r="B341" s="6">
        <v>250.0</v>
      </c>
      <c r="D341" s="153">
        <v>250.0</v>
      </c>
      <c r="E341" s="146"/>
    </row>
    <row r="342">
      <c r="B342" s="6">
        <v>445.0</v>
      </c>
      <c r="C342" s="174">
        <v>45911.0</v>
      </c>
      <c r="D342" s="152"/>
      <c r="E342" s="146"/>
    </row>
    <row r="343">
      <c r="A343" s="6" t="s">
        <v>647</v>
      </c>
      <c r="B343" s="6">
        <v>32000.0</v>
      </c>
      <c r="C343" s="114"/>
      <c r="D343" s="153">
        <v>30000.0</v>
      </c>
      <c r="E343" s="171">
        <v>3000.0</v>
      </c>
    </row>
    <row r="344">
      <c r="A344" s="6" t="s">
        <v>648</v>
      </c>
      <c r="B344" s="6">
        <v>100.0</v>
      </c>
      <c r="D344" s="152"/>
      <c r="E344" s="146"/>
    </row>
    <row r="345">
      <c r="B345" s="6">
        <v>385.0</v>
      </c>
      <c r="C345" s="34" t="s">
        <v>649</v>
      </c>
      <c r="D345" s="152"/>
      <c r="E345" s="146"/>
    </row>
    <row r="346">
      <c r="B346" s="6">
        <v>525.0</v>
      </c>
      <c r="C346" s="34" t="s">
        <v>650</v>
      </c>
      <c r="D346" s="152"/>
      <c r="E346" s="146"/>
    </row>
    <row r="347">
      <c r="A347" s="6" t="s">
        <v>651</v>
      </c>
      <c r="B347" s="6">
        <v>-100.0</v>
      </c>
      <c r="D347" s="152"/>
      <c r="E347" s="171">
        <v>1000.0</v>
      </c>
    </row>
    <row r="348">
      <c r="B348" s="6">
        <v>10.0</v>
      </c>
      <c r="D348" s="152"/>
      <c r="E348" s="146"/>
    </row>
    <row r="349">
      <c r="A349" s="6" t="s">
        <v>63</v>
      </c>
      <c r="B349" s="6">
        <v>350.0</v>
      </c>
      <c r="D349" s="152"/>
      <c r="E349" s="171">
        <v>600.0</v>
      </c>
    </row>
    <row r="350">
      <c r="A350" s="6" t="s">
        <v>113</v>
      </c>
      <c r="B350" s="6">
        <v>100.0</v>
      </c>
      <c r="D350" s="152"/>
      <c r="E350" s="171">
        <v>200.0</v>
      </c>
    </row>
    <row r="351">
      <c r="B351" s="6">
        <v>1265.0</v>
      </c>
      <c r="C351" s="114"/>
      <c r="D351" s="152"/>
      <c r="E351" s="171">
        <v>200.0</v>
      </c>
    </row>
    <row r="352">
      <c r="B352" s="6">
        <v>490.0</v>
      </c>
      <c r="D352" s="152"/>
      <c r="E352" s="171">
        <v>200.0</v>
      </c>
    </row>
    <row r="353">
      <c r="A353" s="6" t="s">
        <v>652</v>
      </c>
      <c r="B353" s="6">
        <v>870.0</v>
      </c>
      <c r="D353" s="152"/>
      <c r="E353" s="171">
        <v>500.0</v>
      </c>
    </row>
    <row r="354">
      <c r="B354" s="6">
        <v>-1200.0</v>
      </c>
      <c r="D354" s="152"/>
      <c r="E354" s="171">
        <v>1000.0</v>
      </c>
    </row>
    <row r="355">
      <c r="A355" s="6" t="s">
        <v>567</v>
      </c>
      <c r="B355" s="6">
        <v>1000.0</v>
      </c>
      <c r="D355" s="152"/>
      <c r="E355" s="146"/>
    </row>
    <row r="356">
      <c r="B356" s="6">
        <v>300.0</v>
      </c>
      <c r="D356" s="152"/>
      <c r="E356" s="146"/>
    </row>
    <row r="357">
      <c r="A357" s="6" t="s">
        <v>653</v>
      </c>
      <c r="B357" s="6">
        <v>500.0</v>
      </c>
      <c r="D357" s="152"/>
      <c r="E357" s="146"/>
    </row>
    <row r="358">
      <c r="A358" s="6" t="s">
        <v>654</v>
      </c>
      <c r="B358" s="6">
        <v>250.0</v>
      </c>
      <c r="D358" s="152"/>
      <c r="E358" s="146"/>
    </row>
    <row r="359">
      <c r="B359" s="6">
        <v>615.0</v>
      </c>
      <c r="D359" s="152"/>
      <c r="E359" s="146"/>
    </row>
    <row r="360">
      <c r="B360" s="145" t="s">
        <v>283</v>
      </c>
      <c r="C360" s="142">
        <f>SUM(B336:B359)</f>
        <v>39585</v>
      </c>
      <c r="E360" s="150" t="s">
        <v>504</v>
      </c>
      <c r="F360" s="146">
        <f>5000-C360</f>
        <v>-34585</v>
      </c>
    </row>
    <row r="361">
      <c r="A361" s="53" t="s">
        <v>515</v>
      </c>
      <c r="B361" s="44">
        <f>SUM(B262:B360)</f>
        <v>108063</v>
      </c>
      <c r="C361" s="147" t="s">
        <v>516</v>
      </c>
      <c r="D361" s="152">
        <f>SUM(D265:D360)</f>
        <v>34380</v>
      </c>
      <c r="E361" s="146">
        <f>sum(E265:E360)</f>
        <v>24000</v>
      </c>
    </row>
    <row r="362">
      <c r="C362" s="79" t="s">
        <v>517</v>
      </c>
      <c r="D362" s="152">
        <f>B262</f>
        <v>18273</v>
      </c>
      <c r="E362" s="146"/>
    </row>
    <row r="363">
      <c r="C363" s="79" t="s">
        <v>518</v>
      </c>
      <c r="D363" s="152">
        <f>D361+D362</f>
        <v>52653</v>
      </c>
      <c r="E363" s="146"/>
    </row>
    <row r="364">
      <c r="C364" s="79" t="s">
        <v>519</v>
      </c>
      <c r="D364" s="152">
        <f>B361-D363</f>
        <v>55410</v>
      </c>
      <c r="E364" s="146"/>
    </row>
    <row r="365">
      <c r="D365" s="155">
        <f>sum(D363:D364)</f>
        <v>108063</v>
      </c>
      <c r="E365" s="146"/>
    </row>
    <row r="366">
      <c r="A366" s="145" t="s">
        <v>49</v>
      </c>
      <c r="B366" s="142">
        <f>B261-B361</f>
        <v>90</v>
      </c>
      <c r="C366" s="6">
        <v>90.0</v>
      </c>
      <c r="D366" s="152"/>
      <c r="E366" s="146"/>
    </row>
    <row r="367">
      <c r="C367" s="46">
        <f>B366-C366</f>
        <v>0</v>
      </c>
      <c r="D367" s="152"/>
      <c r="E367" s="146"/>
    </row>
    <row r="368">
      <c r="D368" s="152"/>
      <c r="E368" s="146"/>
    </row>
    <row r="369">
      <c r="A369" s="108" t="s">
        <v>0</v>
      </c>
      <c r="B369" s="109" t="s">
        <v>655</v>
      </c>
      <c r="C369" s="110"/>
      <c r="D369" s="148"/>
      <c r="E369" s="149"/>
    </row>
    <row r="370">
      <c r="A370" s="143" t="s">
        <v>2</v>
      </c>
      <c r="B370" s="144" t="s">
        <v>656</v>
      </c>
      <c r="C370" s="160" t="s">
        <v>92</v>
      </c>
      <c r="D370" s="175" t="s">
        <v>216</v>
      </c>
      <c r="E370" s="34" t="s">
        <v>54</v>
      </c>
    </row>
    <row r="371">
      <c r="A371" s="6" t="s">
        <v>4</v>
      </c>
      <c r="B371" s="6">
        <v>10000.0</v>
      </c>
      <c r="C371" s="153"/>
      <c r="D371" s="171">
        <v>4500.0</v>
      </c>
      <c r="E371" s="162"/>
      <c r="F371" s="6" t="s">
        <v>657</v>
      </c>
      <c r="G371" s="6">
        <v>5000.0</v>
      </c>
    </row>
    <row r="372">
      <c r="A372" s="6" t="s">
        <v>86</v>
      </c>
      <c r="B372" s="6">
        <v>5000.0</v>
      </c>
      <c r="C372" s="153">
        <v>4000.0</v>
      </c>
      <c r="D372" s="146"/>
      <c r="E372" s="162"/>
    </row>
    <row r="373">
      <c r="A373" s="6" t="s">
        <v>658</v>
      </c>
      <c r="B373" s="6">
        <v>15000.0</v>
      </c>
      <c r="C373" s="153"/>
      <c r="D373" s="171">
        <v>6500.0</v>
      </c>
      <c r="E373" s="162"/>
      <c r="F373" s="6" t="s">
        <v>659</v>
      </c>
      <c r="G373" s="6">
        <v>13000.0</v>
      </c>
    </row>
    <row r="374">
      <c r="A374" s="6" t="s">
        <v>660</v>
      </c>
      <c r="B374" s="6">
        <v>12000.0</v>
      </c>
      <c r="C374" s="153">
        <v>12000.0</v>
      </c>
      <c r="D374" s="146"/>
      <c r="E374" s="164"/>
      <c r="F374" s="6" t="s">
        <v>661</v>
      </c>
      <c r="G374" s="6">
        <v>15000.0</v>
      </c>
      <c r="H374" s="6">
        <v>-9000.0</v>
      </c>
    </row>
    <row r="375">
      <c r="A375" s="6" t="s">
        <v>662</v>
      </c>
      <c r="B375" s="6">
        <v>11000.0</v>
      </c>
      <c r="C375" s="153">
        <v>11000.0</v>
      </c>
      <c r="D375" s="146"/>
      <c r="E375" s="164"/>
      <c r="F375" s="6" t="s">
        <v>572</v>
      </c>
      <c r="G375" s="6">
        <v>10000.0</v>
      </c>
    </row>
    <row r="376">
      <c r="A376" s="6" t="s">
        <v>663</v>
      </c>
      <c r="B376" s="6">
        <v>5500.0</v>
      </c>
      <c r="C376" s="153">
        <v>5500.0</v>
      </c>
      <c r="D376" s="171"/>
      <c r="E376" s="165"/>
      <c r="F376" s="6" t="s">
        <v>619</v>
      </c>
      <c r="G376" s="6">
        <v>12000.0</v>
      </c>
    </row>
    <row r="377">
      <c r="A377" s="6" t="s">
        <v>664</v>
      </c>
      <c r="B377" s="6">
        <v>12000.0</v>
      </c>
      <c r="C377" s="153">
        <v>12000.0</v>
      </c>
      <c r="D377" s="171"/>
      <c r="E377" s="166">
        <v>40500.0</v>
      </c>
    </row>
    <row r="378">
      <c r="A378" s="6" t="s">
        <v>665</v>
      </c>
      <c r="B378" s="6">
        <v>11000.0</v>
      </c>
      <c r="C378" s="153">
        <v>9500.0</v>
      </c>
      <c r="D378" s="171">
        <v>1400.0</v>
      </c>
      <c r="E378" s="167"/>
    </row>
    <row r="379">
      <c r="A379" s="6" t="s">
        <v>618</v>
      </c>
      <c r="B379" s="6">
        <v>12000.0</v>
      </c>
      <c r="C379" s="153">
        <v>11000.0</v>
      </c>
      <c r="D379" s="146"/>
      <c r="E379" s="167"/>
    </row>
    <row r="380">
      <c r="A380" s="6" t="s">
        <v>666</v>
      </c>
      <c r="B380" s="6">
        <v>15000.0</v>
      </c>
      <c r="C380" s="153">
        <v>13000.0</v>
      </c>
      <c r="D380" s="146"/>
      <c r="E380" s="167"/>
    </row>
    <row r="381">
      <c r="A381" s="6" t="s">
        <v>166</v>
      </c>
      <c r="B381" s="6">
        <v>12000.0</v>
      </c>
      <c r="C381" s="6">
        <v>10500.0</v>
      </c>
    </row>
    <row r="382">
      <c r="A382" s="6" t="s">
        <v>667</v>
      </c>
      <c r="B382" s="6">
        <v>14000.0</v>
      </c>
      <c r="C382" s="6">
        <v>9000.0</v>
      </c>
    </row>
    <row r="383">
      <c r="A383" s="6" t="s">
        <v>668</v>
      </c>
      <c r="B383" s="6">
        <v>11000.0</v>
      </c>
      <c r="C383" s="6">
        <v>11000.0</v>
      </c>
    </row>
    <row r="384">
      <c r="A384" s="6" t="s">
        <v>92</v>
      </c>
      <c r="B384" s="6">
        <v>18273.0</v>
      </c>
      <c r="C384" s="153">
        <v>18273.0</v>
      </c>
      <c r="D384" s="146"/>
      <c r="E384" s="167"/>
    </row>
    <row r="385">
      <c r="A385" s="6" t="s">
        <v>491</v>
      </c>
      <c r="B385" s="6">
        <v>90.0</v>
      </c>
      <c r="C385" s="152"/>
      <c r="D385" s="146"/>
      <c r="E385" s="167"/>
    </row>
    <row r="386">
      <c r="A386" s="169" t="s">
        <v>626</v>
      </c>
      <c r="B386" s="170"/>
      <c r="C386" s="169"/>
      <c r="D386" s="146">
        <f>SUM(D371:D385)</f>
        <v>12400</v>
      </c>
      <c r="E386" s="167"/>
    </row>
    <row r="387">
      <c r="A387" s="145" t="s">
        <v>404</v>
      </c>
      <c r="B387" s="142">
        <f>SUM(B371:B386)</f>
        <v>163863</v>
      </c>
      <c r="C387" s="45"/>
      <c r="D387" s="152"/>
      <c r="E387" s="146"/>
    </row>
    <row r="388">
      <c r="A388" s="6" t="s">
        <v>627</v>
      </c>
      <c r="B388" s="46">
        <f>SUM(C371:C385)-D539</f>
        <v>71338</v>
      </c>
      <c r="D388" s="152"/>
      <c r="E388" s="146"/>
    </row>
    <row r="389">
      <c r="A389" s="169" t="s">
        <v>626</v>
      </c>
      <c r="B389" s="170">
        <f>D386-E539</f>
        <v>0</v>
      </c>
      <c r="D389" s="152"/>
      <c r="E389" s="146"/>
    </row>
    <row r="390">
      <c r="A390" s="6" t="s">
        <v>93</v>
      </c>
      <c r="B390" s="6">
        <v>25.0</v>
      </c>
      <c r="D390" s="152"/>
      <c r="E390" s="146"/>
    </row>
    <row r="391">
      <c r="A391" s="53" t="s">
        <v>493</v>
      </c>
      <c r="D391" s="152"/>
      <c r="E391" s="146"/>
    </row>
    <row r="392">
      <c r="A392" s="6" t="s">
        <v>669</v>
      </c>
      <c r="B392" s="6">
        <v>5500.0</v>
      </c>
      <c r="D392" s="153">
        <v>5500.0</v>
      </c>
      <c r="E392" s="171"/>
    </row>
    <row r="393">
      <c r="A393" s="6" t="s">
        <v>669</v>
      </c>
      <c r="B393" s="6">
        <v>2000.0</v>
      </c>
      <c r="C393" s="114"/>
      <c r="D393" s="153">
        <v>2000.0</v>
      </c>
      <c r="E393" s="146"/>
    </row>
    <row r="394">
      <c r="A394" s="6" t="s">
        <v>180</v>
      </c>
      <c r="B394" s="6">
        <v>150.0</v>
      </c>
      <c r="D394" s="153">
        <v>100.0</v>
      </c>
      <c r="E394" s="146"/>
    </row>
    <row r="395">
      <c r="A395" s="6" t="s">
        <v>498</v>
      </c>
      <c r="B395" s="6">
        <v>6000.0</v>
      </c>
      <c r="D395" s="6">
        <v>6000.0</v>
      </c>
    </row>
    <row r="396">
      <c r="A396" s="6" t="s">
        <v>41</v>
      </c>
      <c r="B396" s="6">
        <v>2000.0</v>
      </c>
      <c r="D396" s="6">
        <v>2000.0</v>
      </c>
    </row>
    <row r="397">
      <c r="B397" s="145" t="s">
        <v>283</v>
      </c>
      <c r="C397" s="142">
        <f>SUM(B392:B396)</f>
        <v>15650</v>
      </c>
      <c r="E397" s="150" t="s">
        <v>499</v>
      </c>
      <c r="F397" s="146">
        <f>15000-C397</f>
        <v>-650</v>
      </c>
    </row>
    <row r="398">
      <c r="A398" s="53" t="s">
        <v>224</v>
      </c>
      <c r="D398" s="152"/>
      <c r="E398" s="146"/>
    </row>
    <row r="399">
      <c r="A399" s="176" t="s">
        <v>19</v>
      </c>
      <c r="B399" s="176" t="s">
        <v>670</v>
      </c>
      <c r="D399" s="6" t="s">
        <v>671</v>
      </c>
    </row>
    <row r="400">
      <c r="A400" s="6" t="s">
        <v>186</v>
      </c>
      <c r="B400" s="6">
        <v>500.0</v>
      </c>
      <c r="C400" s="6">
        <v>1.0</v>
      </c>
      <c r="D400" s="153">
        <v>500.0</v>
      </c>
      <c r="E400" s="146"/>
    </row>
    <row r="401">
      <c r="A401" s="6" t="s">
        <v>186</v>
      </c>
      <c r="B401" s="6">
        <v>250.0</v>
      </c>
      <c r="C401" s="6">
        <v>3.0</v>
      </c>
      <c r="D401" s="153"/>
      <c r="E401" s="146"/>
    </row>
    <row r="402">
      <c r="B402" s="6">
        <v>450.0</v>
      </c>
      <c r="C402" s="172"/>
      <c r="D402" s="153"/>
      <c r="E402" s="146"/>
    </row>
    <row r="403">
      <c r="B403" s="6">
        <v>500.0</v>
      </c>
      <c r="D403" s="152"/>
      <c r="E403" s="171">
        <v>500.0</v>
      </c>
    </row>
    <row r="404">
      <c r="B404" s="6">
        <v>30.0</v>
      </c>
      <c r="D404" s="152"/>
      <c r="E404" s="171">
        <v>30.0</v>
      </c>
    </row>
    <row r="405">
      <c r="A405" s="6" t="s">
        <v>186</v>
      </c>
      <c r="B405" s="6">
        <v>740.0</v>
      </c>
      <c r="C405" s="99"/>
      <c r="D405" s="152"/>
      <c r="E405" s="171">
        <v>740.0</v>
      </c>
    </row>
    <row r="406">
      <c r="A406" s="6" t="s">
        <v>227</v>
      </c>
      <c r="B406" s="6">
        <v>580.0</v>
      </c>
      <c r="C406" s="99"/>
      <c r="D406" s="152"/>
      <c r="E406" s="171">
        <v>1000.0</v>
      </c>
    </row>
    <row r="407">
      <c r="A407" s="6" t="s">
        <v>672</v>
      </c>
      <c r="B407" s="6">
        <v>80.0</v>
      </c>
      <c r="C407" s="34"/>
      <c r="D407" s="152"/>
      <c r="E407" s="146"/>
    </row>
    <row r="408">
      <c r="A408" s="6" t="s">
        <v>673</v>
      </c>
      <c r="B408" s="6">
        <v>300.0</v>
      </c>
      <c r="C408" s="34"/>
      <c r="D408" s="152"/>
      <c r="E408" s="171"/>
    </row>
    <row r="409">
      <c r="A409" s="6" t="s">
        <v>186</v>
      </c>
      <c r="B409" s="6">
        <v>400.0</v>
      </c>
      <c r="C409" s="6">
        <v>15.0</v>
      </c>
      <c r="D409" s="152"/>
      <c r="E409" s="171">
        <v>400.0</v>
      </c>
    </row>
    <row r="410">
      <c r="A410" s="6" t="s">
        <v>186</v>
      </c>
      <c r="B410" s="6">
        <v>800.0</v>
      </c>
      <c r="E410" s="171">
        <v>1000.0</v>
      </c>
    </row>
    <row r="411">
      <c r="A411" s="6" t="s">
        <v>674</v>
      </c>
      <c r="B411" s="6">
        <v>450.0</v>
      </c>
    </row>
    <row r="412">
      <c r="A412" s="6" t="s">
        <v>186</v>
      </c>
      <c r="B412" s="6">
        <v>300.0</v>
      </c>
      <c r="D412" s="152"/>
      <c r="E412" s="171"/>
    </row>
    <row r="413">
      <c r="A413" s="6" t="s">
        <v>675</v>
      </c>
      <c r="B413" s="6">
        <v>1000.0</v>
      </c>
      <c r="D413" s="152"/>
      <c r="E413" s="171"/>
    </row>
    <row r="414">
      <c r="A414" s="6" t="s">
        <v>116</v>
      </c>
      <c r="B414" s="6">
        <v>160.0</v>
      </c>
      <c r="D414" s="153">
        <v>160.0</v>
      </c>
      <c r="E414" s="171"/>
    </row>
    <row r="415">
      <c r="A415" s="6" t="s">
        <v>186</v>
      </c>
      <c r="B415" s="6">
        <v>200.0</v>
      </c>
      <c r="D415" s="153"/>
      <c r="E415" s="146"/>
    </row>
    <row r="416">
      <c r="A416" s="6" t="s">
        <v>676</v>
      </c>
      <c r="B416" s="6">
        <v>10.0</v>
      </c>
      <c r="C416" s="34"/>
      <c r="D416" s="153">
        <v>10.0</v>
      </c>
      <c r="E416" s="171"/>
    </row>
    <row r="418">
      <c r="B418" s="6">
        <v>1500.0</v>
      </c>
      <c r="D418" s="6">
        <v>1500.0</v>
      </c>
      <c r="E418" s="171"/>
    </row>
    <row r="419">
      <c r="A419" s="6" t="s">
        <v>677</v>
      </c>
      <c r="B419" s="6">
        <v>460.0</v>
      </c>
      <c r="E419" s="171"/>
    </row>
    <row r="420">
      <c r="A420" s="6" t="s">
        <v>678</v>
      </c>
      <c r="B420" s="6">
        <v>1390.0</v>
      </c>
      <c r="E420" s="171"/>
    </row>
    <row r="421">
      <c r="B421" s="6">
        <v>200.0</v>
      </c>
      <c r="E421" s="171"/>
    </row>
    <row r="422">
      <c r="A422" s="6" t="s">
        <v>186</v>
      </c>
      <c r="B422" s="6">
        <v>200.0</v>
      </c>
      <c r="D422" s="152"/>
      <c r="E422" s="171"/>
    </row>
    <row r="423">
      <c r="B423" s="6">
        <v>200.0</v>
      </c>
      <c r="C423" s="6">
        <v>24.0</v>
      </c>
      <c r="D423" s="152"/>
      <c r="E423" s="171"/>
    </row>
    <row r="424">
      <c r="B424" s="6">
        <v>900.0</v>
      </c>
      <c r="D424" s="153">
        <v>1000.0</v>
      </c>
      <c r="E424" s="171"/>
    </row>
    <row r="425">
      <c r="B425" s="6">
        <v>1000.0</v>
      </c>
      <c r="C425" s="6">
        <v>25.0</v>
      </c>
      <c r="D425" s="153">
        <v>1000.0</v>
      </c>
      <c r="E425" s="171"/>
    </row>
    <row r="426">
      <c r="B426" s="6">
        <v>1000.0</v>
      </c>
      <c r="C426" s="6">
        <v>26.0</v>
      </c>
      <c r="D426" s="153">
        <v>1000.0</v>
      </c>
      <c r="E426" s="146"/>
    </row>
    <row r="427">
      <c r="A427" s="6" t="s">
        <v>679</v>
      </c>
      <c r="B427" s="6">
        <v>500.0</v>
      </c>
      <c r="D427" s="152"/>
      <c r="E427" s="146"/>
    </row>
    <row r="428">
      <c r="A428" s="6" t="s">
        <v>535</v>
      </c>
      <c r="B428" s="6">
        <v>2000.0</v>
      </c>
      <c r="D428" s="6">
        <v>2000.0</v>
      </c>
    </row>
    <row r="450">
      <c r="B450" s="145" t="s">
        <v>283</v>
      </c>
      <c r="C450" s="142">
        <f>SUM(B399:B427)</f>
        <v>14100</v>
      </c>
      <c r="E450" s="150" t="s">
        <v>504</v>
      </c>
      <c r="F450" s="146">
        <f>5000-C450</f>
        <v>-9100</v>
      </c>
    </row>
    <row r="451">
      <c r="A451" s="53" t="s">
        <v>505</v>
      </c>
      <c r="D451" s="152"/>
      <c r="E451" s="146"/>
    </row>
    <row r="452">
      <c r="A452" s="6" t="s">
        <v>680</v>
      </c>
      <c r="B452" s="6">
        <v>3050.0</v>
      </c>
      <c r="C452" s="6">
        <v>2.0</v>
      </c>
      <c r="D452" s="153">
        <v>3500.0</v>
      </c>
      <c r="E452" s="146"/>
    </row>
    <row r="453">
      <c r="A453" s="6" t="s">
        <v>681</v>
      </c>
      <c r="B453" s="6">
        <v>40.0</v>
      </c>
      <c r="C453" s="6">
        <v>2.0</v>
      </c>
      <c r="D453" s="152"/>
      <c r="E453" s="146"/>
    </row>
    <row r="454">
      <c r="A454" s="6" t="s">
        <v>682</v>
      </c>
      <c r="B454" s="6">
        <v>190.0</v>
      </c>
      <c r="C454" s="6">
        <v>2.0</v>
      </c>
      <c r="D454" s="152"/>
      <c r="E454" s="146"/>
    </row>
    <row r="455">
      <c r="A455" s="6" t="s">
        <v>307</v>
      </c>
      <c r="B455" s="6">
        <v>100.0</v>
      </c>
      <c r="C455" s="6">
        <v>2.0</v>
      </c>
      <c r="D455" s="152"/>
      <c r="E455" s="146"/>
    </row>
    <row r="456">
      <c r="A456" s="6" t="s">
        <v>683</v>
      </c>
      <c r="B456" s="6">
        <v>30.0</v>
      </c>
      <c r="C456" s="6">
        <v>2.0</v>
      </c>
      <c r="D456" s="152"/>
      <c r="E456" s="146"/>
    </row>
    <row r="457">
      <c r="A457" s="6" t="s">
        <v>684</v>
      </c>
      <c r="B457" s="6">
        <v>145.0</v>
      </c>
      <c r="C457" s="6">
        <v>2.0</v>
      </c>
      <c r="D457" s="153">
        <v>500.0</v>
      </c>
      <c r="E457" s="146"/>
    </row>
    <row r="458">
      <c r="A458" s="6" t="s">
        <v>685</v>
      </c>
      <c r="B458" s="6">
        <v>75.0</v>
      </c>
      <c r="C458" s="6">
        <v>2.0</v>
      </c>
      <c r="D458" s="152"/>
      <c r="E458" s="146"/>
    </row>
    <row r="459">
      <c r="A459" s="6" t="s">
        <v>686</v>
      </c>
      <c r="B459" s="6">
        <v>1450.0</v>
      </c>
      <c r="D459" s="153">
        <v>2000.0</v>
      </c>
      <c r="E459" s="146"/>
    </row>
    <row r="460">
      <c r="A460" s="6" t="s">
        <v>687</v>
      </c>
      <c r="B460" s="6">
        <v>160.0</v>
      </c>
      <c r="D460" s="152"/>
      <c r="E460" s="146"/>
    </row>
    <row r="461">
      <c r="A461" s="6" t="s">
        <v>553</v>
      </c>
      <c r="B461" s="6">
        <v>2000.0</v>
      </c>
      <c r="D461" s="152"/>
      <c r="E461" s="171">
        <v>2000.0</v>
      </c>
    </row>
    <row r="462">
      <c r="A462" s="6" t="s">
        <v>688</v>
      </c>
      <c r="B462" s="6">
        <v>500.0</v>
      </c>
      <c r="C462" s="99"/>
      <c r="D462" s="152"/>
      <c r="E462" s="171"/>
    </row>
    <row r="463">
      <c r="A463" s="6" t="s">
        <v>689</v>
      </c>
      <c r="B463" s="6">
        <v>200.0</v>
      </c>
      <c r="C463" s="99"/>
      <c r="D463" s="152"/>
      <c r="E463" s="171">
        <v>230.0</v>
      </c>
    </row>
    <row r="464">
      <c r="A464" s="6" t="s">
        <v>227</v>
      </c>
      <c r="B464" s="6">
        <v>30.0</v>
      </c>
      <c r="D464" s="152"/>
      <c r="E464" s="146"/>
    </row>
    <row r="465">
      <c r="A465" s="6" t="s">
        <v>690</v>
      </c>
      <c r="B465" s="6">
        <v>1000.0</v>
      </c>
      <c r="D465" s="153">
        <v>1000.0</v>
      </c>
      <c r="E465" s="146"/>
    </row>
    <row r="466">
      <c r="A466" s="6" t="s">
        <v>691</v>
      </c>
      <c r="B466" s="6">
        <v>10700.0</v>
      </c>
      <c r="C466" s="34"/>
      <c r="D466" s="152"/>
      <c r="E466" s="146"/>
    </row>
    <row r="467">
      <c r="A467" s="6" t="s">
        <v>692</v>
      </c>
      <c r="B467" s="6">
        <v>1000.0</v>
      </c>
      <c r="C467" s="34"/>
      <c r="D467" s="152"/>
      <c r="E467" s="146"/>
    </row>
    <row r="468">
      <c r="A468" s="6" t="s">
        <v>693</v>
      </c>
      <c r="B468" s="6">
        <v>170.0</v>
      </c>
      <c r="D468" s="152"/>
      <c r="E468" s="146"/>
    </row>
    <row r="469">
      <c r="A469" s="6" t="s">
        <v>331</v>
      </c>
      <c r="B469" s="6">
        <v>150.0</v>
      </c>
      <c r="D469" s="152"/>
      <c r="E469" s="171"/>
    </row>
    <row r="470">
      <c r="A470" s="6" t="s">
        <v>177</v>
      </c>
      <c r="B470" s="6">
        <v>120.0</v>
      </c>
      <c r="D470" s="152"/>
      <c r="E470" s="171"/>
    </row>
    <row r="471">
      <c r="A471" s="6" t="s">
        <v>694</v>
      </c>
      <c r="B471" s="6">
        <v>80.0</v>
      </c>
      <c r="D471" s="152"/>
    </row>
    <row r="472">
      <c r="A472" s="6" t="s">
        <v>177</v>
      </c>
      <c r="B472" s="6">
        <v>1440.0</v>
      </c>
      <c r="D472" s="152"/>
      <c r="E472" s="171">
        <v>2000.0</v>
      </c>
    </row>
    <row r="473">
      <c r="A473" s="6" t="s">
        <v>177</v>
      </c>
      <c r="B473" s="6">
        <v>90.0</v>
      </c>
      <c r="D473" s="152"/>
      <c r="E473" s="146"/>
    </row>
    <row r="474">
      <c r="A474" s="6" t="s">
        <v>177</v>
      </c>
      <c r="B474" s="6">
        <v>1200.0</v>
      </c>
      <c r="D474" s="152"/>
      <c r="E474" s="171">
        <v>1500.0</v>
      </c>
    </row>
    <row r="475">
      <c r="A475" s="6" t="s">
        <v>695</v>
      </c>
      <c r="B475" s="6">
        <v>200.0</v>
      </c>
      <c r="D475" s="152"/>
      <c r="E475" s="146"/>
    </row>
    <row r="476">
      <c r="A476" s="6" t="s">
        <v>696</v>
      </c>
      <c r="B476" s="6">
        <v>200.0</v>
      </c>
      <c r="D476" s="152"/>
      <c r="E476" s="146"/>
    </row>
    <row r="477">
      <c r="A477" s="6" t="s">
        <v>371</v>
      </c>
      <c r="B477" s="6">
        <v>400.0</v>
      </c>
      <c r="D477" s="153"/>
      <c r="E477" s="146"/>
    </row>
    <row r="478">
      <c r="A478" s="6" t="s">
        <v>697</v>
      </c>
      <c r="B478" s="6">
        <v>110.0</v>
      </c>
      <c r="D478" s="152"/>
      <c r="E478" s="146"/>
    </row>
    <row r="479">
      <c r="A479" s="6" t="s">
        <v>698</v>
      </c>
      <c r="B479" s="6">
        <v>1000.0</v>
      </c>
      <c r="D479" s="6">
        <v>1500.0</v>
      </c>
    </row>
    <row r="480">
      <c r="A480" s="6" t="s">
        <v>699</v>
      </c>
      <c r="B480" s="6">
        <v>5000.0</v>
      </c>
      <c r="D480" s="6">
        <v>5000.0</v>
      </c>
    </row>
    <row r="481">
      <c r="A481" s="6" t="s">
        <v>695</v>
      </c>
      <c r="B481" s="6">
        <v>500.0</v>
      </c>
    </row>
    <row r="482">
      <c r="B482" s="6">
        <v>1500.0</v>
      </c>
    </row>
    <row r="483">
      <c r="B483" s="6">
        <v>500.0</v>
      </c>
    </row>
    <row r="484">
      <c r="A484" s="6" t="s">
        <v>695</v>
      </c>
      <c r="B484" s="6">
        <v>500.0</v>
      </c>
      <c r="D484" s="6">
        <v>1000.0</v>
      </c>
    </row>
    <row r="485">
      <c r="B485" s="6">
        <v>300.0</v>
      </c>
    </row>
    <row r="486">
      <c r="B486" s="6">
        <v>300.0</v>
      </c>
      <c r="F486" s="146">
        <f>15000-C494</f>
        <v>-23305</v>
      </c>
    </row>
    <row r="487">
      <c r="A487" s="6" t="s">
        <v>700</v>
      </c>
      <c r="B487" s="46">
        <f>190+100+130</f>
        <v>420</v>
      </c>
    </row>
    <row r="488">
      <c r="A488" s="6" t="s">
        <v>297</v>
      </c>
      <c r="B488" s="6">
        <v>180.0</v>
      </c>
    </row>
    <row r="489">
      <c r="A489" s="6" t="s">
        <v>701</v>
      </c>
      <c r="B489" s="6">
        <v>70.0</v>
      </c>
    </row>
    <row r="490">
      <c r="A490" s="6" t="s">
        <v>702</v>
      </c>
      <c r="B490" s="6">
        <v>3205.0</v>
      </c>
      <c r="D490" s="6">
        <v>3205.0</v>
      </c>
    </row>
    <row r="494">
      <c r="B494" s="145" t="s">
        <v>283</v>
      </c>
      <c r="C494" s="142">
        <f>SUM(B452:B494)</f>
        <v>38305</v>
      </c>
      <c r="E494" s="150" t="s">
        <v>499</v>
      </c>
    </row>
    <row r="495">
      <c r="A495" s="53" t="s">
        <v>514</v>
      </c>
      <c r="D495" s="152"/>
      <c r="E495" s="146"/>
    </row>
    <row r="496">
      <c r="A496" s="6" t="s">
        <v>186</v>
      </c>
      <c r="B496" s="6">
        <v>435.0</v>
      </c>
      <c r="C496" s="6">
        <v>1.0</v>
      </c>
      <c r="D496" s="153">
        <v>500.0</v>
      </c>
      <c r="E496" s="146"/>
    </row>
    <row r="497">
      <c r="A497" s="6" t="s">
        <v>409</v>
      </c>
      <c r="B497" s="6">
        <v>50.0</v>
      </c>
      <c r="C497" s="6">
        <v>2.0</v>
      </c>
      <c r="D497" s="153">
        <v>550.0</v>
      </c>
      <c r="E497" s="146"/>
    </row>
    <row r="498">
      <c r="A498" s="6" t="s">
        <v>186</v>
      </c>
      <c r="B498" s="6">
        <v>1005.0</v>
      </c>
      <c r="C498" s="34" t="s">
        <v>703</v>
      </c>
      <c r="D498" s="153"/>
      <c r="E498" s="146"/>
    </row>
    <row r="499">
      <c r="A499" s="6" t="s">
        <v>116</v>
      </c>
      <c r="B499" s="6">
        <v>250.0</v>
      </c>
      <c r="C499" s="115"/>
      <c r="D499" s="152"/>
      <c r="E499" s="171">
        <v>500.0</v>
      </c>
    </row>
    <row r="500">
      <c r="A500" s="6" t="s">
        <v>186</v>
      </c>
      <c r="B500" s="6">
        <v>45.0</v>
      </c>
      <c r="C500" s="115"/>
      <c r="D500" s="152"/>
      <c r="E500" s="146"/>
    </row>
    <row r="501">
      <c r="A501" s="6" t="s">
        <v>704</v>
      </c>
      <c r="B501" s="6">
        <v>50.0</v>
      </c>
      <c r="D501" s="153">
        <v>50.0</v>
      </c>
      <c r="E501" s="146"/>
    </row>
    <row r="502">
      <c r="A502" s="6" t="s">
        <v>409</v>
      </c>
      <c r="B502" s="6">
        <v>50.0</v>
      </c>
      <c r="C502" s="174"/>
      <c r="D502" s="153">
        <v>50.0</v>
      </c>
      <c r="E502" s="146"/>
    </row>
    <row r="503">
      <c r="A503" s="6" t="s">
        <v>186</v>
      </c>
      <c r="C503" s="114"/>
      <c r="D503" s="153"/>
      <c r="E503" s="171">
        <v>500.0</v>
      </c>
    </row>
    <row r="504">
      <c r="B504" s="6">
        <v>35.0</v>
      </c>
      <c r="D504" s="152"/>
      <c r="E504" s="146"/>
    </row>
    <row r="505">
      <c r="A505" s="6" t="s">
        <v>116</v>
      </c>
      <c r="B505" s="6">
        <v>100.0</v>
      </c>
      <c r="C505" s="34"/>
      <c r="D505" s="153">
        <v>100.0</v>
      </c>
      <c r="E505" s="146"/>
    </row>
    <row r="506">
      <c r="A506" s="6" t="s">
        <v>705</v>
      </c>
      <c r="B506" s="6">
        <v>550.0</v>
      </c>
      <c r="C506" s="34"/>
      <c r="D506" s="152"/>
      <c r="E506" s="171">
        <v>550.0</v>
      </c>
    </row>
    <row r="507">
      <c r="B507" s="6">
        <v>2155.0</v>
      </c>
      <c r="D507" s="152"/>
      <c r="E507" s="171">
        <v>1450.0</v>
      </c>
    </row>
    <row r="508">
      <c r="B508" s="6">
        <v>285.0</v>
      </c>
      <c r="D508" s="152"/>
      <c r="E508" s="146"/>
    </row>
    <row r="509">
      <c r="B509" s="6">
        <v>605.0</v>
      </c>
      <c r="D509" s="152"/>
      <c r="E509" s="171"/>
    </row>
    <row r="510">
      <c r="B510" s="6">
        <v>160.0</v>
      </c>
      <c r="D510" s="152"/>
      <c r="E510" s="171"/>
    </row>
    <row r="511">
      <c r="A511" s="6" t="s">
        <v>706</v>
      </c>
      <c r="B511" s="6">
        <v>210.0</v>
      </c>
      <c r="C511" s="114"/>
      <c r="D511" s="153">
        <v>210.0</v>
      </c>
      <c r="E511" s="171"/>
    </row>
    <row r="512">
      <c r="B512" s="6">
        <v>275.0</v>
      </c>
      <c r="D512" s="153">
        <v>1000.0</v>
      </c>
      <c r="E512" s="146"/>
    </row>
    <row r="513">
      <c r="A513" s="6" t="s">
        <v>707</v>
      </c>
      <c r="B513" s="6">
        <v>5000.0</v>
      </c>
      <c r="D513" s="153">
        <v>1000.0</v>
      </c>
      <c r="E513" s="146"/>
    </row>
    <row r="514">
      <c r="B514" s="6">
        <v>445.0</v>
      </c>
      <c r="D514" s="153">
        <v>6000.0</v>
      </c>
      <c r="E514" s="146"/>
      <c r="F514" s="146">
        <f>5000-C538</f>
        <v>-16425</v>
      </c>
    </row>
    <row r="515">
      <c r="B515" s="6">
        <v>190.0</v>
      </c>
      <c r="D515" s="153">
        <v>500.0</v>
      </c>
      <c r="E515" s="146"/>
    </row>
    <row r="516">
      <c r="A516" s="6" t="s">
        <v>116</v>
      </c>
      <c r="B516" s="6">
        <v>150.0</v>
      </c>
    </row>
    <row r="517">
      <c r="B517" s="6">
        <v>730.0</v>
      </c>
      <c r="D517" s="152"/>
      <c r="E517" s="146"/>
    </row>
    <row r="518">
      <c r="A518" s="6" t="s">
        <v>708</v>
      </c>
      <c r="B518" s="6">
        <v>7000.0</v>
      </c>
      <c r="D518" s="6">
        <v>4000.0</v>
      </c>
    </row>
    <row r="519">
      <c r="A519" s="6" t="s">
        <v>709</v>
      </c>
      <c r="B519" s="6">
        <v>100.0</v>
      </c>
    </row>
    <row r="520">
      <c r="A520" s="6" t="s">
        <v>186</v>
      </c>
      <c r="B520" s="6">
        <v>750.0</v>
      </c>
    </row>
    <row r="521">
      <c r="A521" s="6" t="s">
        <v>710</v>
      </c>
      <c r="B521" s="6">
        <v>800.0</v>
      </c>
      <c r="C521" s="6">
        <v>20.0</v>
      </c>
      <c r="D521" s="6">
        <v>1000.0</v>
      </c>
      <c r="E521" s="171"/>
    </row>
    <row r="529">
      <c r="D529" s="152"/>
      <c r="E529" s="146"/>
    </row>
    <row r="530">
      <c r="D530" s="152"/>
      <c r="E530" s="146"/>
    </row>
    <row r="531">
      <c r="D531" s="152"/>
      <c r="E531" s="146"/>
    </row>
    <row r="532">
      <c r="D532" s="152"/>
      <c r="E532" s="146"/>
    </row>
    <row r="533">
      <c r="D533" s="152"/>
      <c r="E533" s="146"/>
    </row>
    <row r="534">
      <c r="D534" s="152"/>
      <c r="E534" s="146"/>
    </row>
    <row r="535">
      <c r="D535" s="152"/>
      <c r="E535" s="146"/>
    </row>
    <row r="536">
      <c r="D536" s="152"/>
      <c r="E536" s="146"/>
    </row>
    <row r="538">
      <c r="B538" s="145" t="s">
        <v>283</v>
      </c>
      <c r="C538" s="142">
        <f>SUM(B496:B537)</f>
        <v>21425</v>
      </c>
      <c r="E538" s="150" t="s">
        <v>504</v>
      </c>
    </row>
    <row r="539">
      <c r="A539" s="53" t="s">
        <v>515</v>
      </c>
      <c r="B539" s="44">
        <f>SUM(B388:B538)</f>
        <v>162843</v>
      </c>
      <c r="C539" s="147" t="s">
        <v>516</v>
      </c>
      <c r="D539" s="152">
        <f>SUM(D391:D538)</f>
        <v>55435</v>
      </c>
      <c r="E539" s="146">
        <f>sum(E391:E538)</f>
        <v>12400</v>
      </c>
    </row>
    <row r="540">
      <c r="C540" s="79" t="s">
        <v>517</v>
      </c>
      <c r="D540" s="152">
        <f>B388</f>
        <v>71338</v>
      </c>
      <c r="E540" s="146"/>
    </row>
    <row r="541">
      <c r="C541" s="79" t="s">
        <v>518</v>
      </c>
      <c r="D541" s="152">
        <f>D539+D540</f>
        <v>126773</v>
      </c>
      <c r="E541" s="146"/>
    </row>
    <row r="542">
      <c r="C542" s="79" t="s">
        <v>519</v>
      </c>
      <c r="D542" s="152">
        <f>B539-D541</f>
        <v>36070</v>
      </c>
      <c r="E542" s="146"/>
    </row>
    <row r="543">
      <c r="D543" s="155">
        <f>sum(D541:D542)</f>
        <v>162843</v>
      </c>
      <c r="E543" s="146"/>
    </row>
    <row r="544">
      <c r="A544" s="145" t="s">
        <v>49</v>
      </c>
      <c r="B544" s="142">
        <f>B387-B539</f>
        <v>1020</v>
      </c>
      <c r="C544" s="6">
        <v>765.0</v>
      </c>
      <c r="D544" s="152"/>
      <c r="E544" s="146"/>
    </row>
    <row r="545">
      <c r="C545" s="46">
        <f>B544-C544</f>
        <v>255</v>
      </c>
      <c r="D545" s="152"/>
      <c r="E545" s="146"/>
    </row>
    <row r="546">
      <c r="D546" s="152"/>
      <c r="E546" s="146"/>
    </row>
    <row r="547">
      <c r="D547" s="152"/>
      <c r="E547" s="146"/>
    </row>
    <row r="548">
      <c r="A548" s="108" t="s">
        <v>0</v>
      </c>
      <c r="B548" s="109" t="s">
        <v>711</v>
      </c>
      <c r="C548" s="110"/>
      <c r="D548" s="148"/>
      <c r="E548" s="149"/>
    </row>
    <row r="549">
      <c r="A549" s="143" t="s">
        <v>2</v>
      </c>
      <c r="B549" s="144" t="s">
        <v>712</v>
      </c>
      <c r="C549" s="160" t="s">
        <v>92</v>
      </c>
      <c r="D549" s="175" t="s">
        <v>216</v>
      </c>
      <c r="E549" s="34" t="s">
        <v>54</v>
      </c>
    </row>
    <row r="550">
      <c r="A550" s="6" t="s">
        <v>713</v>
      </c>
      <c r="B550" s="6">
        <v>10000.0</v>
      </c>
      <c r="C550" s="153">
        <v>9500.0</v>
      </c>
      <c r="D550" s="171"/>
      <c r="E550" s="166" t="s">
        <v>714</v>
      </c>
    </row>
    <row r="551">
      <c r="A551" s="6" t="s">
        <v>658</v>
      </c>
      <c r="B551" s="6">
        <v>15000.0</v>
      </c>
      <c r="C551" s="153">
        <v>11500.0</v>
      </c>
      <c r="D551" s="171">
        <v>3500.0</v>
      </c>
      <c r="E551" s="166" t="s">
        <v>715</v>
      </c>
    </row>
    <row r="552">
      <c r="A552" s="6" t="s">
        <v>665</v>
      </c>
      <c r="B552" s="6">
        <v>11000.0</v>
      </c>
      <c r="C552" s="153">
        <v>11000.0</v>
      </c>
      <c r="D552" s="171"/>
      <c r="E552" s="166" t="s">
        <v>716</v>
      </c>
    </row>
    <row r="553">
      <c r="A553" s="6" t="s">
        <v>652</v>
      </c>
      <c r="B553" s="6">
        <v>10000.0</v>
      </c>
      <c r="C553" s="153">
        <v>8500.0</v>
      </c>
      <c r="D553" s="146"/>
      <c r="E553" s="166" t="s">
        <v>717</v>
      </c>
    </row>
    <row r="554">
      <c r="A554" s="6" t="s">
        <v>661</v>
      </c>
      <c r="B554" s="6">
        <v>15000.0</v>
      </c>
      <c r="C554" s="153">
        <v>6000.0</v>
      </c>
      <c r="D554" s="171">
        <v>9000.0</v>
      </c>
      <c r="E554" s="166" t="s">
        <v>718</v>
      </c>
    </row>
    <row r="555">
      <c r="A555" s="6" t="s">
        <v>50</v>
      </c>
      <c r="B555" s="6">
        <v>28500.0</v>
      </c>
      <c r="C555" s="153">
        <v>27000.0</v>
      </c>
      <c r="D555" s="171"/>
      <c r="E555" s="166" t="s">
        <v>718</v>
      </c>
    </row>
    <row r="556">
      <c r="A556" s="6" t="s">
        <v>719</v>
      </c>
      <c r="B556" s="6">
        <v>10000.0</v>
      </c>
      <c r="C556" s="153">
        <v>8000.0</v>
      </c>
      <c r="D556" s="171">
        <v>2000.0</v>
      </c>
      <c r="E556" s="166" t="s">
        <v>720</v>
      </c>
    </row>
    <row r="557">
      <c r="A557" s="6" t="s">
        <v>657</v>
      </c>
      <c r="B557" s="6">
        <v>8440.0</v>
      </c>
      <c r="C557" s="153"/>
      <c r="D557" s="171"/>
      <c r="E557" s="167"/>
    </row>
    <row r="558">
      <c r="A558" s="6" t="s">
        <v>721</v>
      </c>
      <c r="B558" s="6">
        <v>63.3</v>
      </c>
      <c r="C558" s="153">
        <v>63.3</v>
      </c>
      <c r="D558" s="146"/>
      <c r="E558" s="167"/>
    </row>
    <row r="559">
      <c r="C559" s="153"/>
      <c r="D559" s="146"/>
      <c r="E559" s="167"/>
    </row>
    <row r="563">
      <c r="A563" s="6" t="s">
        <v>92</v>
      </c>
      <c r="B563" s="6">
        <v>71338.0</v>
      </c>
      <c r="C563" s="153">
        <v>71338.0</v>
      </c>
      <c r="D563" s="146"/>
      <c r="E563" s="167"/>
    </row>
    <row r="564">
      <c r="A564" s="6" t="s">
        <v>491</v>
      </c>
      <c r="B564" s="6">
        <v>1020.0</v>
      </c>
      <c r="C564" s="152"/>
      <c r="D564" s="146"/>
      <c r="E564" s="167"/>
    </row>
    <row r="565">
      <c r="A565" s="169" t="s">
        <v>626</v>
      </c>
      <c r="B565" s="170"/>
      <c r="C565" s="169"/>
      <c r="D565" s="146">
        <f>SUM(D550:D564)</f>
        <v>14500</v>
      </c>
      <c r="E565" s="167"/>
    </row>
    <row r="566">
      <c r="A566" s="145" t="s">
        <v>404</v>
      </c>
      <c r="B566" s="142">
        <f>SUM(B550:B565)</f>
        <v>180361.3</v>
      </c>
      <c r="C566" s="45"/>
      <c r="D566" s="152"/>
      <c r="E566" s="146"/>
    </row>
    <row r="567">
      <c r="A567" s="6" t="s">
        <v>492</v>
      </c>
      <c r="B567" s="46">
        <f>SUM(C550:C564)-D697</f>
        <v>81671.3</v>
      </c>
      <c r="C567" s="177" t="s">
        <v>722</v>
      </c>
      <c r="D567" s="178">
        <f>34190+21000-5020</f>
        <v>50170</v>
      </c>
      <c r="E567" s="179">
        <v>86671.62</v>
      </c>
    </row>
    <row r="568">
      <c r="A568" s="169" t="s">
        <v>626</v>
      </c>
      <c r="B568" s="170">
        <f>D565-E697</f>
        <v>0</v>
      </c>
      <c r="C568" s="180" t="s">
        <v>723</v>
      </c>
      <c r="D568" s="181">
        <f>B567-D567</f>
        <v>31501.3</v>
      </c>
    </row>
    <row r="569">
      <c r="A569" s="6" t="s">
        <v>93</v>
      </c>
      <c r="B569" s="6">
        <v>8465.0</v>
      </c>
      <c r="D569" s="152"/>
      <c r="E569" s="146"/>
    </row>
    <row r="570">
      <c r="A570" s="53" t="s">
        <v>493</v>
      </c>
      <c r="D570" s="152"/>
      <c r="E570" s="146"/>
    </row>
    <row r="571">
      <c r="A571" s="6" t="s">
        <v>41</v>
      </c>
      <c r="B571" s="6">
        <v>10000.0</v>
      </c>
      <c r="C571" s="6">
        <v>10.0</v>
      </c>
      <c r="D571" s="153">
        <v>10000.0</v>
      </c>
      <c r="E571" s="171"/>
    </row>
    <row r="572">
      <c r="A572" s="6" t="s">
        <v>724</v>
      </c>
      <c r="B572" s="6">
        <v>500.0</v>
      </c>
      <c r="C572" s="6">
        <v>13.0</v>
      </c>
      <c r="D572" s="153">
        <v>500.0</v>
      </c>
      <c r="E572" s="146"/>
    </row>
    <row r="573">
      <c r="A573" s="6" t="s">
        <v>725</v>
      </c>
      <c r="B573" s="6">
        <v>1400.0</v>
      </c>
      <c r="C573" s="6">
        <v>14.0</v>
      </c>
      <c r="D573" s="153">
        <v>1000.0</v>
      </c>
      <c r="E573" s="146"/>
    </row>
    <row r="574">
      <c r="A574" s="6" t="s">
        <v>726</v>
      </c>
      <c r="B574" s="6">
        <v>1690.0</v>
      </c>
      <c r="C574" s="34" t="s">
        <v>727</v>
      </c>
      <c r="D574" s="6">
        <v>1500.0</v>
      </c>
    </row>
    <row r="575">
      <c r="A575" s="6" t="s">
        <v>34</v>
      </c>
      <c r="B575" s="6">
        <v>2000.0</v>
      </c>
      <c r="C575" s="6">
        <v>25.0</v>
      </c>
      <c r="E575" s="6">
        <v>2000.0</v>
      </c>
    </row>
    <row r="576">
      <c r="A576" s="6" t="s">
        <v>34</v>
      </c>
      <c r="B576" s="6">
        <v>1020.0</v>
      </c>
      <c r="C576" s="6">
        <v>30.0</v>
      </c>
      <c r="D576" s="6">
        <v>1020.0</v>
      </c>
    </row>
    <row r="579">
      <c r="B579" s="182" t="s">
        <v>283</v>
      </c>
      <c r="C579" s="183">
        <f>SUM(B571:B575)</f>
        <v>15590</v>
      </c>
      <c r="E579" s="150"/>
      <c r="F579" s="146"/>
    </row>
    <row r="580">
      <c r="A580" s="53" t="s">
        <v>224</v>
      </c>
      <c r="D580" s="152"/>
      <c r="E580" s="146"/>
    </row>
    <row r="581">
      <c r="A581" s="176" t="s">
        <v>19</v>
      </c>
      <c r="B581" s="176"/>
    </row>
    <row r="582">
      <c r="A582" s="156" t="s">
        <v>149</v>
      </c>
      <c r="B582" s="157">
        <v>250.0</v>
      </c>
      <c r="C582" s="184">
        <v>1.0</v>
      </c>
      <c r="D582" s="153"/>
      <c r="E582" s="146"/>
    </row>
    <row r="583">
      <c r="A583" s="156" t="s">
        <v>306</v>
      </c>
      <c r="B583" s="157">
        <v>100.0</v>
      </c>
      <c r="C583" s="157">
        <v>3.0</v>
      </c>
      <c r="D583" s="153"/>
      <c r="E583" s="146"/>
    </row>
    <row r="584">
      <c r="A584" s="6" t="s">
        <v>728</v>
      </c>
      <c r="B584" s="6">
        <v>100.0</v>
      </c>
      <c r="C584" s="172"/>
      <c r="D584" s="153"/>
      <c r="E584" s="146"/>
    </row>
    <row r="585">
      <c r="A585" s="6" t="s">
        <v>186</v>
      </c>
      <c r="B585" s="6">
        <v>500.0</v>
      </c>
      <c r="D585" s="152"/>
      <c r="E585" s="171"/>
    </row>
    <row r="586">
      <c r="A586" s="6" t="s">
        <v>729</v>
      </c>
      <c r="B586" s="6">
        <v>-400.0</v>
      </c>
      <c r="D586" s="152"/>
      <c r="E586" s="171"/>
    </row>
    <row r="587">
      <c r="A587" s="6" t="s">
        <v>186</v>
      </c>
      <c r="B587" s="6">
        <v>500.0</v>
      </c>
      <c r="C587" s="6">
        <v>7.0</v>
      </c>
      <c r="D587" s="153">
        <v>1500.0</v>
      </c>
      <c r="E587" s="171"/>
    </row>
    <row r="588">
      <c r="A588" s="6" t="s">
        <v>186</v>
      </c>
      <c r="B588" s="6">
        <v>500.0</v>
      </c>
      <c r="C588" s="6">
        <v>8.0</v>
      </c>
      <c r="D588" s="152"/>
      <c r="E588" s="171">
        <v>500.0</v>
      </c>
    </row>
    <row r="589">
      <c r="A589" s="6" t="s">
        <v>116</v>
      </c>
      <c r="B589" s="6">
        <v>50.0</v>
      </c>
      <c r="D589" s="6">
        <v>50.0</v>
      </c>
      <c r="E589" s="146"/>
    </row>
    <row r="590">
      <c r="A590" s="6" t="s">
        <v>186</v>
      </c>
      <c r="B590" s="6">
        <v>600.0</v>
      </c>
      <c r="C590" s="34">
        <v>9.0</v>
      </c>
      <c r="D590" s="153">
        <v>500.0</v>
      </c>
      <c r="E590" s="171"/>
      <c r="F590" s="6" t="s">
        <v>730</v>
      </c>
    </row>
    <row r="591">
      <c r="A591" s="6">
        <v>34190.0</v>
      </c>
      <c r="B591" s="6" t="s">
        <v>730</v>
      </c>
      <c r="D591" s="152"/>
      <c r="E591" s="171"/>
    </row>
    <row r="592">
      <c r="A592" s="6" t="s">
        <v>731</v>
      </c>
      <c r="B592" s="6">
        <v>1500.0</v>
      </c>
      <c r="C592" s="6">
        <v>10.0</v>
      </c>
      <c r="E592" s="171"/>
    </row>
    <row r="593">
      <c r="A593" s="46">
        <f>A591+21000</f>
        <v>55190</v>
      </c>
      <c r="B593" s="6" t="s">
        <v>732</v>
      </c>
    </row>
    <row r="594">
      <c r="A594" s="6" t="s">
        <v>186</v>
      </c>
      <c r="B594" s="6">
        <v>100.0</v>
      </c>
      <c r="C594" s="6">
        <v>12.0</v>
      </c>
      <c r="D594" s="152"/>
      <c r="E594" s="171"/>
    </row>
    <row r="595">
      <c r="A595" s="6" t="s">
        <v>186</v>
      </c>
      <c r="B595" s="6">
        <v>500.0</v>
      </c>
      <c r="C595" s="6">
        <v>13.0</v>
      </c>
      <c r="D595" s="153">
        <v>1000.0</v>
      </c>
      <c r="E595" s="171"/>
    </row>
    <row r="596">
      <c r="A596" s="6" t="s">
        <v>733</v>
      </c>
      <c r="B596" s="6">
        <v>2000.0</v>
      </c>
      <c r="C596" s="6">
        <v>13.0</v>
      </c>
      <c r="D596" s="153">
        <v>2000.0</v>
      </c>
      <c r="E596" s="171"/>
    </row>
    <row r="597">
      <c r="A597" s="6" t="s">
        <v>733</v>
      </c>
      <c r="B597" s="6">
        <v>2000.0</v>
      </c>
      <c r="C597" s="6">
        <v>15.0</v>
      </c>
      <c r="D597" s="153">
        <v>2000.0</v>
      </c>
      <c r="E597" s="146"/>
    </row>
    <row r="598">
      <c r="A598" s="6" t="s">
        <v>734</v>
      </c>
      <c r="B598" s="6">
        <v>-1500.0</v>
      </c>
      <c r="C598" s="34">
        <v>16.0</v>
      </c>
      <c r="D598" s="153"/>
      <c r="E598" s="171"/>
    </row>
    <row r="599">
      <c r="A599" s="6" t="s">
        <v>177</v>
      </c>
      <c r="B599" s="6">
        <v>-80.0</v>
      </c>
      <c r="E599" s="171"/>
    </row>
    <row r="600">
      <c r="B600" s="6">
        <v>500.0</v>
      </c>
      <c r="C600" s="6">
        <v>17.0</v>
      </c>
      <c r="D600" s="6">
        <v>500.0</v>
      </c>
      <c r="E600" s="171"/>
    </row>
    <row r="601">
      <c r="A601" s="6" t="s">
        <v>735</v>
      </c>
      <c r="B601" s="6">
        <v>1500.0</v>
      </c>
      <c r="C601" s="6">
        <v>18.0</v>
      </c>
      <c r="D601" s="6">
        <v>1500.0</v>
      </c>
      <c r="E601" s="171"/>
    </row>
    <row r="602">
      <c r="A602" s="46">
        <f>A593-SUM(B594:B601)</f>
        <v>50170</v>
      </c>
      <c r="E602" s="171"/>
    </row>
    <row r="603">
      <c r="A603" s="6" t="s">
        <v>736</v>
      </c>
      <c r="B603" s="6">
        <v>2000.0</v>
      </c>
      <c r="C603" s="6">
        <v>19.0</v>
      </c>
      <c r="D603" s="6">
        <v>2000.0</v>
      </c>
      <c r="E603" s="171"/>
    </row>
    <row r="604">
      <c r="A604" s="6" t="s">
        <v>737</v>
      </c>
      <c r="B604" s="6">
        <v>90.0</v>
      </c>
      <c r="D604" s="152"/>
      <c r="E604" s="171"/>
    </row>
    <row r="605">
      <c r="A605" s="6" t="s">
        <v>738</v>
      </c>
      <c r="B605" s="6">
        <v>4000.0</v>
      </c>
      <c r="C605" s="6">
        <v>20.0</v>
      </c>
      <c r="D605" s="153">
        <v>4000.0</v>
      </c>
      <c r="E605" s="171"/>
    </row>
    <row r="606">
      <c r="A606" s="6" t="s">
        <v>580</v>
      </c>
      <c r="B606" s="6">
        <v>2000.0</v>
      </c>
      <c r="D606" s="153">
        <v>2000.0</v>
      </c>
      <c r="E606" s="171"/>
    </row>
    <row r="607">
      <c r="B607" s="6">
        <v>-400.0</v>
      </c>
      <c r="D607" s="153"/>
      <c r="E607" s="171"/>
    </row>
    <row r="608">
      <c r="A608" s="6" t="s">
        <v>739</v>
      </c>
      <c r="B608" s="6">
        <v>2000.0</v>
      </c>
      <c r="C608" s="6">
        <v>22.0</v>
      </c>
      <c r="D608" s="153">
        <v>2000.0</v>
      </c>
      <c r="E608" s="146"/>
    </row>
    <row r="609">
      <c r="A609" s="6" t="s">
        <v>50</v>
      </c>
      <c r="B609" s="6">
        <v>2000.0</v>
      </c>
      <c r="C609" s="6">
        <v>28.0</v>
      </c>
      <c r="D609" s="153">
        <v>2500.0</v>
      </c>
      <c r="E609" s="146"/>
    </row>
    <row r="610">
      <c r="C610" s="6">
        <v>22.0</v>
      </c>
    </row>
    <row r="611">
      <c r="A611" s="6" t="s">
        <v>739</v>
      </c>
      <c r="B611" s="6">
        <v>2200.0</v>
      </c>
      <c r="C611" s="6">
        <v>23.0</v>
      </c>
      <c r="D611" s="6">
        <v>2500.0</v>
      </c>
      <c r="F611" s="146"/>
    </row>
    <row r="612">
      <c r="B612" s="6">
        <v>2500.0</v>
      </c>
      <c r="C612" s="6">
        <v>28.0</v>
      </c>
      <c r="D612" s="6">
        <v>2500.0</v>
      </c>
    </row>
    <row r="613">
      <c r="A613" s="46">
        <f>A602-SUM(B603:B612)</f>
        <v>33780</v>
      </c>
    </row>
    <row r="616">
      <c r="A616" s="6" t="s">
        <v>50</v>
      </c>
      <c r="B616" s="6">
        <v>2000.0</v>
      </c>
      <c r="D616" s="6">
        <v>2500.0</v>
      </c>
    </row>
    <row r="617">
      <c r="B617" s="182" t="s">
        <v>283</v>
      </c>
      <c r="C617" s="183">
        <f>SUM(B581:B609)</f>
        <v>20410</v>
      </c>
      <c r="E617" s="150"/>
    </row>
    <row r="618">
      <c r="A618" s="53" t="s">
        <v>505</v>
      </c>
      <c r="D618" s="152"/>
      <c r="E618" s="146"/>
    </row>
    <row r="619">
      <c r="A619" s="156" t="s">
        <v>740</v>
      </c>
      <c r="B619" s="157">
        <v>280.0</v>
      </c>
      <c r="C619" s="156"/>
      <c r="D619" s="156"/>
      <c r="E619" s="146"/>
    </row>
    <row r="620">
      <c r="A620" s="156" t="s">
        <v>741</v>
      </c>
      <c r="B620" s="157">
        <v>90.0</v>
      </c>
      <c r="C620" s="156"/>
      <c r="D620" s="156"/>
      <c r="E620" s="146"/>
    </row>
    <row r="621">
      <c r="A621" s="156" t="s">
        <v>742</v>
      </c>
      <c r="B621" s="157">
        <v>40.0</v>
      </c>
      <c r="C621" s="156"/>
      <c r="D621" s="156"/>
      <c r="E621" s="146"/>
    </row>
    <row r="622">
      <c r="A622" s="156" t="s">
        <v>743</v>
      </c>
      <c r="B622" s="157">
        <v>65.0</v>
      </c>
      <c r="C622" s="157">
        <v>2.0</v>
      </c>
      <c r="D622" s="185">
        <v>1500.0</v>
      </c>
      <c r="E622" s="146"/>
    </row>
    <row r="623">
      <c r="A623" s="156" t="s">
        <v>744</v>
      </c>
      <c r="B623" s="157">
        <v>580.0</v>
      </c>
      <c r="C623" s="156"/>
      <c r="D623" s="156"/>
      <c r="E623" s="146"/>
    </row>
    <row r="624">
      <c r="A624" s="6" t="s">
        <v>745</v>
      </c>
      <c r="B624" s="6">
        <v>2000.0</v>
      </c>
      <c r="C624" s="6">
        <v>4.0</v>
      </c>
      <c r="D624" s="6">
        <v>2500.0</v>
      </c>
      <c r="E624" s="146"/>
    </row>
    <row r="625">
      <c r="A625" s="6" t="s">
        <v>596</v>
      </c>
      <c r="B625" s="6">
        <v>500.0</v>
      </c>
      <c r="C625" s="6">
        <v>7.0</v>
      </c>
      <c r="E625" s="171">
        <v>500.0</v>
      </c>
    </row>
    <row r="626">
      <c r="A626" s="6" t="s">
        <v>177</v>
      </c>
      <c r="B626" s="6">
        <v>1700.0</v>
      </c>
      <c r="D626" s="156"/>
      <c r="E626" s="171">
        <v>2000.0</v>
      </c>
    </row>
    <row r="627">
      <c r="A627" s="6" t="s">
        <v>746</v>
      </c>
      <c r="B627" s="6">
        <v>160.0</v>
      </c>
      <c r="C627" s="6">
        <v>9.0</v>
      </c>
      <c r="D627" s="152"/>
      <c r="E627" s="171"/>
    </row>
    <row r="628">
      <c r="A628" s="6" t="s">
        <v>747</v>
      </c>
      <c r="B628" s="6">
        <v>160.0</v>
      </c>
      <c r="C628" s="99"/>
      <c r="D628" s="152"/>
      <c r="E628" s="171"/>
    </row>
    <row r="629">
      <c r="A629" s="6" t="s">
        <v>278</v>
      </c>
      <c r="B629" s="6">
        <v>10400.0</v>
      </c>
      <c r="C629" s="6">
        <v>10.0</v>
      </c>
      <c r="D629" s="153">
        <v>6000.0</v>
      </c>
      <c r="E629" s="171">
        <v>4000.0</v>
      </c>
    </row>
    <row r="630">
      <c r="A630" s="6" t="s">
        <v>748</v>
      </c>
      <c r="B630" s="6">
        <v>1000.0</v>
      </c>
      <c r="C630" s="6">
        <v>11.0</v>
      </c>
      <c r="D630" s="153"/>
      <c r="E630" s="171">
        <v>1000.0</v>
      </c>
    </row>
    <row r="631">
      <c r="A631" s="6" t="s">
        <v>177</v>
      </c>
      <c r="B631" s="46">
        <f>30+150+80+60</f>
        <v>320</v>
      </c>
      <c r="C631" s="34">
        <v>11.0</v>
      </c>
      <c r="D631" s="152"/>
      <c r="E631" s="146"/>
    </row>
    <row r="632">
      <c r="A632" s="6" t="s">
        <v>749</v>
      </c>
      <c r="B632" s="6">
        <v>5000.0</v>
      </c>
      <c r="C632" s="6">
        <v>13.0</v>
      </c>
      <c r="D632" s="153">
        <v>5500.0</v>
      </c>
      <c r="E632" s="146"/>
    </row>
    <row r="633">
      <c r="A633" s="6" t="s">
        <v>750</v>
      </c>
      <c r="B633" s="6">
        <v>135.0</v>
      </c>
      <c r="C633" s="6">
        <v>16.0</v>
      </c>
      <c r="D633" s="152"/>
      <c r="E633" s="171"/>
    </row>
    <row r="634">
      <c r="A634" s="6" t="s">
        <v>177</v>
      </c>
      <c r="B634" s="6">
        <v>80.0</v>
      </c>
      <c r="D634" s="152"/>
      <c r="E634" s="171"/>
    </row>
    <row r="635">
      <c r="A635" s="6" t="s">
        <v>734</v>
      </c>
      <c r="B635" s="6">
        <v>980.0</v>
      </c>
      <c r="D635" s="152"/>
    </row>
    <row r="636">
      <c r="A636" s="6" t="s">
        <v>229</v>
      </c>
      <c r="B636" s="6">
        <v>45.0</v>
      </c>
      <c r="D636" s="152"/>
      <c r="E636" s="171"/>
    </row>
    <row r="637">
      <c r="A637" s="6" t="s">
        <v>742</v>
      </c>
      <c r="B637" s="6">
        <v>20.0</v>
      </c>
      <c r="D637" s="152"/>
      <c r="E637" s="146"/>
    </row>
    <row r="638">
      <c r="A638" s="6" t="s">
        <v>9</v>
      </c>
      <c r="B638" s="6">
        <v>800.0</v>
      </c>
      <c r="C638" s="6">
        <v>17.0</v>
      </c>
      <c r="D638" s="153">
        <v>1500.0</v>
      </c>
      <c r="E638" s="171"/>
    </row>
    <row r="639">
      <c r="A639" s="6" t="s">
        <v>751</v>
      </c>
      <c r="B639" s="6">
        <v>80.0</v>
      </c>
      <c r="D639" s="152"/>
      <c r="E639" s="146"/>
    </row>
    <row r="640">
      <c r="A640" s="6" t="s">
        <v>742</v>
      </c>
      <c r="B640" s="6">
        <v>20.0</v>
      </c>
      <c r="D640" s="152"/>
      <c r="E640" s="146"/>
    </row>
    <row r="641">
      <c r="A641" s="6" t="s">
        <v>752</v>
      </c>
      <c r="B641" s="6">
        <v>170.0</v>
      </c>
      <c r="D641" s="153"/>
      <c r="E641" s="146"/>
    </row>
    <row r="642">
      <c r="A642" s="6" t="s">
        <v>753</v>
      </c>
      <c r="B642" s="6">
        <v>840.0</v>
      </c>
      <c r="C642" s="6">
        <v>20.0</v>
      </c>
      <c r="D642" s="153">
        <v>500.0</v>
      </c>
      <c r="E642" s="146"/>
    </row>
    <row r="643">
      <c r="A643" s="6" t="s">
        <v>754</v>
      </c>
      <c r="B643" s="6">
        <v>210.0</v>
      </c>
      <c r="C643" s="6">
        <v>23.0</v>
      </c>
    </row>
    <row r="644">
      <c r="F644" s="146"/>
    </row>
    <row r="652">
      <c r="B652" s="145" t="s">
        <v>283</v>
      </c>
      <c r="C652" s="183">
        <f>SUM(B619:B652)</f>
        <v>25675</v>
      </c>
      <c r="E652" s="150"/>
    </row>
    <row r="653">
      <c r="A653" s="53" t="s">
        <v>514</v>
      </c>
      <c r="D653" s="152"/>
      <c r="E653" s="146"/>
    </row>
    <row r="654">
      <c r="A654" s="156" t="s">
        <v>186</v>
      </c>
      <c r="B654" s="157">
        <v>150.0</v>
      </c>
      <c r="C654" s="157">
        <v>1.0</v>
      </c>
      <c r="D654" s="186"/>
      <c r="E654" s="146"/>
    </row>
    <row r="655">
      <c r="A655" s="156" t="s">
        <v>116</v>
      </c>
      <c r="B655" s="157">
        <v>50.0</v>
      </c>
      <c r="C655" s="156"/>
      <c r="D655" s="153"/>
      <c r="E655" s="146"/>
    </row>
    <row r="656">
      <c r="A656" s="156" t="s">
        <v>186</v>
      </c>
      <c r="B656" s="157">
        <v>150.0</v>
      </c>
      <c r="C656" s="184">
        <v>2.0</v>
      </c>
      <c r="D656" s="153"/>
      <c r="E656" s="146"/>
    </row>
    <row r="657">
      <c r="A657" s="6" t="s">
        <v>186</v>
      </c>
      <c r="B657" s="6">
        <v>165.0</v>
      </c>
      <c r="C657" s="6">
        <v>3.0</v>
      </c>
      <c r="D657" s="152"/>
      <c r="E657" s="171"/>
    </row>
    <row r="658">
      <c r="A658" s="6" t="s">
        <v>755</v>
      </c>
      <c r="B658" s="6">
        <v>1390.0</v>
      </c>
      <c r="C658" s="6">
        <v>5.0</v>
      </c>
      <c r="D658" s="184">
        <v>1500.0</v>
      </c>
    </row>
    <row r="659">
      <c r="A659" s="6" t="s">
        <v>756</v>
      </c>
      <c r="B659" s="6">
        <v>1000.0</v>
      </c>
      <c r="C659" s="6">
        <v>6.0</v>
      </c>
      <c r="D659" s="153">
        <v>1500.0</v>
      </c>
      <c r="E659" s="146"/>
    </row>
    <row r="660">
      <c r="A660" s="6" t="s">
        <v>186</v>
      </c>
      <c r="B660" s="6">
        <v>760.0</v>
      </c>
      <c r="C660" s="187">
        <v>45754.0</v>
      </c>
      <c r="D660" s="153"/>
      <c r="E660" s="146"/>
    </row>
    <row r="661">
      <c r="A661" s="6" t="s">
        <v>116</v>
      </c>
      <c r="B661" s="6">
        <v>50.0</v>
      </c>
      <c r="C661" s="6">
        <v>7.0</v>
      </c>
      <c r="D661" s="153">
        <v>50.0</v>
      </c>
      <c r="E661" s="146"/>
    </row>
    <row r="662">
      <c r="A662" s="6" t="s">
        <v>661</v>
      </c>
      <c r="B662" s="6">
        <v>150.0</v>
      </c>
      <c r="C662" s="6">
        <v>8.0</v>
      </c>
      <c r="D662" s="153"/>
      <c r="E662" s="171">
        <v>500.0</v>
      </c>
    </row>
    <row r="663">
      <c r="A663" s="6" t="s">
        <v>116</v>
      </c>
      <c r="B663" s="6">
        <v>50.0</v>
      </c>
      <c r="C663" s="6">
        <v>8.0</v>
      </c>
      <c r="D663" s="153">
        <v>50.0</v>
      </c>
      <c r="E663" s="146"/>
    </row>
    <row r="664">
      <c r="A664" s="6" t="s">
        <v>186</v>
      </c>
      <c r="B664" s="6">
        <v>250.0</v>
      </c>
      <c r="C664" s="34">
        <v>8.0</v>
      </c>
      <c r="D664" s="153"/>
      <c r="E664" s="146"/>
    </row>
    <row r="665">
      <c r="A665" s="6" t="s">
        <v>186</v>
      </c>
      <c r="B665" s="6">
        <v>140.0</v>
      </c>
      <c r="C665" s="34">
        <v>9.0</v>
      </c>
      <c r="D665" s="152"/>
      <c r="E665" s="171"/>
    </row>
    <row r="666">
      <c r="A666" s="6" t="s">
        <v>186</v>
      </c>
      <c r="B666" s="6">
        <v>160.0</v>
      </c>
      <c r="D666" s="152"/>
    </row>
    <row r="667">
      <c r="A667" s="6" t="s">
        <v>537</v>
      </c>
      <c r="B667" s="6">
        <v>100.0</v>
      </c>
      <c r="C667" s="6">
        <v>11.0</v>
      </c>
      <c r="D667" s="152"/>
      <c r="E667" s="171"/>
    </row>
    <row r="668">
      <c r="A668" s="6" t="s">
        <v>631</v>
      </c>
      <c r="B668" s="6">
        <v>4000.0</v>
      </c>
      <c r="D668" s="152"/>
      <c r="E668" s="171">
        <v>4000.0</v>
      </c>
    </row>
    <row r="669">
      <c r="A669" s="6" t="s">
        <v>116</v>
      </c>
      <c r="B669" s="6">
        <v>60.0</v>
      </c>
      <c r="C669" s="6">
        <v>12.0</v>
      </c>
      <c r="D669" s="153">
        <v>60.0</v>
      </c>
      <c r="E669" s="171"/>
    </row>
    <row r="670">
      <c r="A670" s="6" t="s">
        <v>186</v>
      </c>
      <c r="B670" s="6">
        <v>225.0</v>
      </c>
      <c r="C670" s="6">
        <v>12.0</v>
      </c>
      <c r="E670" s="171"/>
    </row>
    <row r="671">
      <c r="A671" s="6" t="s">
        <v>186</v>
      </c>
      <c r="B671" s="6">
        <v>460.0</v>
      </c>
      <c r="C671" s="6">
        <v>13.0</v>
      </c>
      <c r="D671" s="153">
        <v>1000.0</v>
      </c>
      <c r="E671" s="146"/>
    </row>
    <row r="672">
      <c r="A672" s="6" t="s">
        <v>186</v>
      </c>
      <c r="B672" s="6">
        <v>675.0</v>
      </c>
      <c r="C672" s="34" t="s">
        <v>650</v>
      </c>
      <c r="D672" s="153">
        <v>1500.0</v>
      </c>
      <c r="E672" s="146"/>
      <c r="F672" s="146"/>
    </row>
    <row r="673">
      <c r="A673" s="6" t="s">
        <v>186</v>
      </c>
      <c r="B673" s="6">
        <v>110.0</v>
      </c>
      <c r="C673" s="6">
        <v>17.0</v>
      </c>
      <c r="D673" s="153">
        <v>1500.0</v>
      </c>
      <c r="E673" s="146"/>
    </row>
    <row r="674">
      <c r="A674" s="6" t="s">
        <v>757</v>
      </c>
      <c r="B674" s="6">
        <v>500.0</v>
      </c>
      <c r="E674" s="146"/>
    </row>
    <row r="675">
      <c r="A675" s="6" t="s">
        <v>613</v>
      </c>
      <c r="B675" s="6">
        <v>500.0</v>
      </c>
      <c r="C675" s="34"/>
    </row>
    <row r="676">
      <c r="A676" s="6" t="s">
        <v>186</v>
      </c>
      <c r="B676" s="6">
        <v>270.0</v>
      </c>
      <c r="C676" s="6">
        <v>18.0</v>
      </c>
      <c r="D676" s="152"/>
      <c r="E676" s="146"/>
    </row>
    <row r="677">
      <c r="A677" s="6" t="s">
        <v>186</v>
      </c>
      <c r="B677" s="6">
        <v>180.0</v>
      </c>
      <c r="C677" s="6">
        <v>19.0</v>
      </c>
      <c r="D677" s="6">
        <v>1000.0</v>
      </c>
    </row>
    <row r="678">
      <c r="A678" s="6" t="s">
        <v>648</v>
      </c>
      <c r="B678" s="6">
        <v>100.0</v>
      </c>
    </row>
    <row r="679">
      <c r="A679" s="6" t="s">
        <v>186</v>
      </c>
      <c r="B679" s="6">
        <v>610.0</v>
      </c>
      <c r="C679" s="34" t="s">
        <v>758</v>
      </c>
    </row>
    <row r="680">
      <c r="A680" s="6" t="s">
        <v>759</v>
      </c>
      <c r="B680" s="6">
        <v>20.0</v>
      </c>
    </row>
    <row r="681">
      <c r="A681" s="6" t="s">
        <v>547</v>
      </c>
      <c r="B681" s="6">
        <v>25.0</v>
      </c>
    </row>
    <row r="682">
      <c r="A682" s="6" t="s">
        <v>186</v>
      </c>
      <c r="B682" s="6">
        <v>30.0</v>
      </c>
      <c r="C682" s="6">
        <v>23.0</v>
      </c>
    </row>
    <row r="683">
      <c r="B683" s="6">
        <v>20.0</v>
      </c>
    </row>
    <row r="684">
      <c r="B684" s="6">
        <v>40.0</v>
      </c>
    </row>
    <row r="685">
      <c r="B685" s="6">
        <v>20.0</v>
      </c>
    </row>
    <row r="686">
      <c r="C686" s="6">
        <v>27.0</v>
      </c>
      <c r="D686" s="6">
        <v>2500.0</v>
      </c>
    </row>
    <row r="687">
      <c r="D687" s="152"/>
      <c r="E687" s="146"/>
    </row>
    <row r="688">
      <c r="D688" s="152"/>
      <c r="E688" s="146"/>
    </row>
    <row r="689">
      <c r="D689" s="152"/>
      <c r="E689" s="146"/>
    </row>
    <row r="690">
      <c r="D690" s="152"/>
      <c r="E690" s="146"/>
    </row>
    <row r="691">
      <c r="D691" s="152"/>
      <c r="E691" s="146"/>
    </row>
    <row r="692">
      <c r="D692" s="152"/>
      <c r="E692" s="146"/>
    </row>
    <row r="693">
      <c r="D693" s="152"/>
      <c r="E693" s="146"/>
    </row>
    <row r="694">
      <c r="D694" s="152"/>
      <c r="E694" s="146"/>
    </row>
    <row r="695">
      <c r="A695" s="6" t="s">
        <v>253</v>
      </c>
      <c r="B695" s="6">
        <v>1630.0</v>
      </c>
    </row>
    <row r="696">
      <c r="B696" s="182" t="s">
        <v>283</v>
      </c>
      <c r="C696" s="183">
        <f>SUM(B654:B695)</f>
        <v>14040</v>
      </c>
      <c r="E696" s="150"/>
    </row>
    <row r="697">
      <c r="A697" s="53" t="s">
        <v>515</v>
      </c>
      <c r="B697" s="44">
        <f>SUM(B567:B696)</f>
        <v>173571.3</v>
      </c>
      <c r="C697" s="147" t="s">
        <v>516</v>
      </c>
      <c r="D697" s="152">
        <f>SUM(D570:D696)</f>
        <v>71230</v>
      </c>
      <c r="E697" s="146">
        <f>sum(E570:E696)</f>
        <v>14500</v>
      </c>
    </row>
    <row r="698">
      <c r="C698" s="79" t="s">
        <v>517</v>
      </c>
      <c r="D698" s="152">
        <f>B567</f>
        <v>81671.3</v>
      </c>
      <c r="E698" s="146"/>
    </row>
    <row r="699">
      <c r="C699" s="79" t="s">
        <v>518</v>
      </c>
      <c r="D699" s="152">
        <f>D697+D698</f>
        <v>152901.3</v>
      </c>
      <c r="E699" s="146"/>
    </row>
    <row r="700">
      <c r="C700" s="79" t="s">
        <v>519</v>
      </c>
      <c r="D700" s="152">
        <f>B697-D699</f>
        <v>20670</v>
      </c>
      <c r="E700" s="146"/>
    </row>
    <row r="701">
      <c r="D701" s="155">
        <f>sum(D699:D700)</f>
        <v>173571.3</v>
      </c>
      <c r="E701" s="146"/>
    </row>
    <row r="702">
      <c r="A702" s="182" t="s">
        <v>49</v>
      </c>
      <c r="B702" s="183">
        <f>B566-B697</f>
        <v>6790</v>
      </c>
      <c r="C702" s="6">
        <v>490.0</v>
      </c>
      <c r="D702" s="152"/>
      <c r="E702" s="146"/>
    </row>
    <row r="703">
      <c r="C703" s="46">
        <f>B702-C702</f>
        <v>6300</v>
      </c>
      <c r="D703" s="152"/>
      <c r="E703" s="146"/>
    </row>
    <row r="704">
      <c r="D704" s="152"/>
      <c r="E704" s="146"/>
    </row>
    <row r="705">
      <c r="D705" s="152"/>
      <c r="E705" s="146"/>
    </row>
    <row r="706">
      <c r="D706" s="152"/>
      <c r="E706" s="146"/>
    </row>
    <row r="864">
      <c r="D864" s="152"/>
      <c r="E864" s="146"/>
    </row>
    <row r="865">
      <c r="D865" s="152"/>
      <c r="E865" s="146"/>
    </row>
    <row r="866">
      <c r="D866" s="152"/>
      <c r="E866" s="146"/>
    </row>
    <row r="867">
      <c r="D867" s="152"/>
      <c r="E867" s="146"/>
    </row>
    <row r="868">
      <c r="D868" s="152"/>
      <c r="E868" s="146"/>
    </row>
    <row r="869">
      <c r="D869" s="152"/>
      <c r="E869" s="146"/>
    </row>
    <row r="870">
      <c r="D870" s="152"/>
      <c r="E870" s="146"/>
    </row>
    <row r="871">
      <c r="D871" s="152"/>
      <c r="E871" s="146"/>
    </row>
    <row r="872">
      <c r="D872" s="152"/>
      <c r="E872" s="146"/>
    </row>
    <row r="873">
      <c r="D873" s="152"/>
      <c r="E873" s="146"/>
    </row>
    <row r="874">
      <c r="D874" s="152"/>
      <c r="E874" s="146"/>
    </row>
    <row r="875">
      <c r="D875" s="152"/>
      <c r="E875" s="146"/>
    </row>
    <row r="876">
      <c r="D876" s="152"/>
      <c r="E876" s="146"/>
    </row>
    <row r="877">
      <c r="D877" s="152"/>
      <c r="E877" s="146"/>
    </row>
    <row r="878">
      <c r="D878" s="152"/>
      <c r="E878" s="146"/>
    </row>
    <row r="879">
      <c r="D879" s="152"/>
      <c r="E879" s="146"/>
    </row>
    <row r="880">
      <c r="D880" s="152"/>
      <c r="E880" s="146"/>
    </row>
    <row r="881">
      <c r="D881" s="152"/>
      <c r="E881" s="146"/>
    </row>
    <row r="882">
      <c r="D882" s="152"/>
      <c r="E882" s="146"/>
    </row>
    <row r="883">
      <c r="D883" s="152"/>
      <c r="E883" s="146"/>
    </row>
    <row r="884">
      <c r="D884" s="152"/>
      <c r="E884" s="146"/>
    </row>
    <row r="885">
      <c r="D885" s="152"/>
      <c r="E885" s="146"/>
    </row>
    <row r="886">
      <c r="D886" s="152"/>
      <c r="E886" s="146"/>
    </row>
    <row r="887">
      <c r="D887" s="152"/>
      <c r="E887" s="146"/>
    </row>
    <row r="888">
      <c r="D888" s="152"/>
      <c r="E888" s="146"/>
    </row>
    <row r="889">
      <c r="D889" s="152"/>
      <c r="E889" s="146"/>
    </row>
    <row r="890">
      <c r="D890" s="152"/>
      <c r="E890" s="146"/>
    </row>
    <row r="891">
      <c r="D891" s="152"/>
      <c r="E891" s="146"/>
    </row>
    <row r="892">
      <c r="D892" s="152"/>
      <c r="E892" s="146"/>
    </row>
    <row r="893">
      <c r="D893" s="152"/>
      <c r="E893" s="146"/>
    </row>
    <row r="894">
      <c r="D894" s="152"/>
      <c r="E894" s="146"/>
    </row>
    <row r="895">
      <c r="D895" s="152"/>
      <c r="E895" s="146"/>
    </row>
    <row r="896">
      <c r="D896" s="152"/>
      <c r="E896" s="146"/>
    </row>
    <row r="897">
      <c r="D897" s="152"/>
      <c r="E897" s="146"/>
    </row>
    <row r="898">
      <c r="D898" s="152"/>
      <c r="E898" s="146"/>
    </row>
    <row r="899">
      <c r="D899" s="152"/>
      <c r="E899" s="146"/>
    </row>
    <row r="900">
      <c r="D900" s="152"/>
      <c r="E900" s="146"/>
    </row>
    <row r="901">
      <c r="D901" s="152"/>
      <c r="E901" s="146"/>
    </row>
    <row r="902">
      <c r="D902" s="152"/>
      <c r="E902" s="146"/>
    </row>
    <row r="903">
      <c r="D903" s="152"/>
      <c r="E903" s="146"/>
    </row>
    <row r="904">
      <c r="D904" s="152"/>
      <c r="E904" s="146"/>
    </row>
    <row r="905">
      <c r="D905" s="152"/>
      <c r="E905" s="146"/>
    </row>
    <row r="906">
      <c r="D906" s="152"/>
      <c r="E906" s="146"/>
    </row>
    <row r="907">
      <c r="D907" s="152"/>
      <c r="E907" s="146"/>
    </row>
    <row r="908">
      <c r="D908" s="152"/>
      <c r="E908" s="146"/>
    </row>
    <row r="909">
      <c r="D909" s="152"/>
      <c r="E909" s="146"/>
    </row>
    <row r="910">
      <c r="D910" s="152"/>
      <c r="E910" s="146"/>
    </row>
    <row r="911">
      <c r="D911" s="152"/>
      <c r="E911" s="146"/>
    </row>
    <row r="912">
      <c r="D912" s="152"/>
      <c r="E912" s="146"/>
    </row>
    <row r="913">
      <c r="D913" s="152"/>
      <c r="E913" s="146"/>
    </row>
    <row r="914">
      <c r="D914" s="152"/>
      <c r="E914" s="146"/>
    </row>
    <row r="915">
      <c r="D915" s="152"/>
      <c r="E915" s="146"/>
    </row>
    <row r="916">
      <c r="D916" s="152"/>
      <c r="E916" s="146"/>
    </row>
    <row r="917">
      <c r="D917" s="152"/>
      <c r="E917" s="146"/>
    </row>
    <row r="918">
      <c r="D918" s="152"/>
      <c r="E918" s="146"/>
    </row>
    <row r="919">
      <c r="D919" s="152"/>
      <c r="E919" s="146"/>
    </row>
    <row r="920">
      <c r="D920" s="152"/>
      <c r="E920" s="146"/>
    </row>
    <row r="921">
      <c r="D921" s="152"/>
      <c r="E921" s="146"/>
    </row>
    <row r="922">
      <c r="D922" s="152"/>
      <c r="E922" s="146"/>
    </row>
    <row r="923">
      <c r="D923" s="152"/>
      <c r="E923" s="146"/>
    </row>
    <row r="924">
      <c r="D924" s="152"/>
      <c r="E924" s="146"/>
    </row>
    <row r="925">
      <c r="D925" s="152"/>
      <c r="E925" s="146"/>
    </row>
    <row r="926">
      <c r="D926" s="152"/>
      <c r="E926" s="146"/>
    </row>
    <row r="927">
      <c r="D927" s="152"/>
      <c r="E927" s="146"/>
    </row>
    <row r="928">
      <c r="D928" s="152"/>
      <c r="E928" s="146"/>
    </row>
    <row r="929">
      <c r="D929" s="152"/>
      <c r="E929" s="146"/>
    </row>
    <row r="930">
      <c r="D930" s="152"/>
      <c r="E930" s="146"/>
    </row>
    <row r="931">
      <c r="D931" s="152"/>
      <c r="E931" s="146"/>
    </row>
    <row r="932">
      <c r="D932" s="152"/>
      <c r="E932" s="146"/>
    </row>
    <row r="933">
      <c r="D933" s="152"/>
      <c r="E933" s="146"/>
    </row>
    <row r="934">
      <c r="D934" s="152"/>
      <c r="E934" s="146"/>
    </row>
    <row r="935">
      <c r="D935" s="152"/>
      <c r="E935" s="146"/>
    </row>
    <row r="936">
      <c r="D936" s="152"/>
      <c r="E936" s="146"/>
    </row>
    <row r="937">
      <c r="D937" s="152"/>
      <c r="E937" s="146"/>
    </row>
    <row r="938">
      <c r="D938" s="152"/>
      <c r="E938" s="146"/>
    </row>
    <row r="939">
      <c r="D939" s="152"/>
      <c r="E939" s="146"/>
    </row>
    <row r="940">
      <c r="D940" s="152"/>
      <c r="E940" s="146"/>
    </row>
    <row r="941">
      <c r="D941" s="152"/>
      <c r="E941" s="146"/>
    </row>
    <row r="942">
      <c r="D942" s="152"/>
      <c r="E942" s="146"/>
    </row>
    <row r="943">
      <c r="D943" s="152"/>
      <c r="E943" s="146"/>
    </row>
    <row r="944">
      <c r="D944" s="152"/>
      <c r="E944" s="146"/>
    </row>
    <row r="945">
      <c r="D945" s="152"/>
      <c r="E945" s="146"/>
    </row>
    <row r="946">
      <c r="D946" s="152"/>
      <c r="E946" s="146"/>
    </row>
    <row r="947">
      <c r="D947" s="152"/>
      <c r="E947" s="146"/>
    </row>
    <row r="948">
      <c r="D948" s="152"/>
      <c r="E948" s="146"/>
    </row>
    <row r="949">
      <c r="D949" s="152"/>
      <c r="E949" s="146"/>
    </row>
    <row r="950">
      <c r="D950" s="152"/>
      <c r="E950" s="146"/>
    </row>
    <row r="951">
      <c r="D951" s="152"/>
      <c r="E951" s="146"/>
    </row>
    <row r="952">
      <c r="D952" s="152"/>
      <c r="E952" s="146"/>
    </row>
    <row r="953">
      <c r="D953" s="152"/>
      <c r="E953" s="146"/>
    </row>
    <row r="954">
      <c r="D954" s="152"/>
      <c r="E954" s="146"/>
    </row>
    <row r="955">
      <c r="D955" s="152"/>
      <c r="E955" s="146"/>
    </row>
    <row r="956">
      <c r="D956" s="152"/>
      <c r="E956" s="146"/>
    </row>
    <row r="957">
      <c r="D957" s="152"/>
      <c r="E957" s="146"/>
    </row>
    <row r="958">
      <c r="D958" s="152"/>
      <c r="E958" s="146"/>
    </row>
    <row r="959">
      <c r="D959" s="152"/>
      <c r="E959" s="146"/>
    </row>
    <row r="960">
      <c r="D960" s="152"/>
      <c r="E960" s="146"/>
    </row>
    <row r="961">
      <c r="D961" s="152"/>
      <c r="E961" s="146"/>
    </row>
    <row r="962">
      <c r="D962" s="152"/>
      <c r="E962" s="146"/>
    </row>
    <row r="963">
      <c r="D963" s="152"/>
      <c r="E963" s="146"/>
    </row>
    <row r="964">
      <c r="D964" s="152"/>
      <c r="E964" s="146"/>
    </row>
    <row r="965">
      <c r="D965" s="152"/>
      <c r="E965" s="146"/>
    </row>
    <row r="966">
      <c r="D966" s="152"/>
      <c r="E966" s="146"/>
    </row>
    <row r="967">
      <c r="D967" s="152"/>
      <c r="E967" s="146"/>
    </row>
    <row r="968">
      <c r="D968" s="152"/>
      <c r="E968" s="146"/>
    </row>
    <row r="969">
      <c r="D969" s="152"/>
      <c r="E969" s="146"/>
    </row>
    <row r="970">
      <c r="D970" s="152"/>
      <c r="E970" s="146"/>
    </row>
    <row r="971">
      <c r="D971" s="152"/>
      <c r="E971" s="146"/>
    </row>
    <row r="972">
      <c r="D972" s="152"/>
      <c r="E972" s="146"/>
    </row>
    <row r="973">
      <c r="D973" s="152"/>
      <c r="E973" s="146"/>
    </row>
    <row r="974">
      <c r="D974" s="152"/>
      <c r="E974" s="146"/>
    </row>
    <row r="975">
      <c r="D975" s="152"/>
      <c r="E975" s="146"/>
    </row>
    <row r="976">
      <c r="D976" s="152"/>
      <c r="E976" s="146"/>
    </row>
    <row r="977">
      <c r="D977" s="152"/>
      <c r="E977" s="146"/>
    </row>
    <row r="978">
      <c r="D978" s="152"/>
      <c r="E978" s="146"/>
    </row>
    <row r="979">
      <c r="D979" s="152"/>
      <c r="E979" s="146"/>
    </row>
    <row r="980">
      <c r="D980" s="152"/>
      <c r="E980" s="146"/>
    </row>
    <row r="981">
      <c r="D981" s="152"/>
      <c r="E981" s="146"/>
    </row>
    <row r="982">
      <c r="D982" s="152"/>
      <c r="E982" s="146"/>
    </row>
    <row r="983">
      <c r="D983" s="152"/>
      <c r="E983" s="146"/>
    </row>
    <row r="984">
      <c r="D984" s="152"/>
      <c r="E984" s="146"/>
    </row>
    <row r="985">
      <c r="D985" s="152"/>
      <c r="E985" s="146"/>
    </row>
    <row r="986">
      <c r="D986" s="152"/>
      <c r="E986" s="146"/>
    </row>
    <row r="987">
      <c r="D987" s="152"/>
      <c r="E987" s="146"/>
    </row>
    <row r="988">
      <c r="D988" s="152"/>
      <c r="E988" s="146"/>
    </row>
    <row r="989">
      <c r="D989" s="152"/>
      <c r="E989" s="146"/>
    </row>
    <row r="990">
      <c r="D990" s="152"/>
      <c r="E990" s="146"/>
    </row>
    <row r="991">
      <c r="D991" s="152"/>
      <c r="E991" s="146"/>
    </row>
    <row r="992">
      <c r="D992" s="152"/>
      <c r="E992" s="146"/>
    </row>
    <row r="993">
      <c r="D993" s="152"/>
      <c r="E993" s="146"/>
    </row>
    <row r="994">
      <c r="D994" s="152"/>
      <c r="E994" s="146"/>
    </row>
    <row r="995">
      <c r="D995" s="152"/>
      <c r="E995" s="146"/>
    </row>
    <row r="996">
      <c r="D996" s="152"/>
      <c r="E996" s="146"/>
    </row>
    <row r="997">
      <c r="D997" s="152"/>
      <c r="E997" s="146"/>
    </row>
    <row r="998">
      <c r="D998" s="152"/>
      <c r="E998" s="146"/>
    </row>
    <row r="999">
      <c r="D999" s="152"/>
      <c r="E999" s="146"/>
    </row>
    <row r="1000">
      <c r="D1000" s="152"/>
      <c r="E1000" s="14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B1" s="6" t="s">
        <v>760</v>
      </c>
      <c r="C1" s="6" t="s">
        <v>761</v>
      </c>
      <c r="D1" s="6" t="s">
        <v>762</v>
      </c>
      <c r="E1" s="6" t="s">
        <v>763</v>
      </c>
      <c r="F1" s="6" t="s">
        <v>764</v>
      </c>
    </row>
    <row r="2">
      <c r="A2" s="6" t="s">
        <v>765</v>
      </c>
      <c r="B2" s="46">
        <f>SUM(B21:B27)</f>
        <v>51000</v>
      </c>
      <c r="C2" s="46">
        <f>SUM(I21:I32)</f>
        <v>84000</v>
      </c>
    </row>
    <row r="3">
      <c r="A3" s="6" t="s">
        <v>766</v>
      </c>
      <c r="B3" s="46">
        <f>C50</f>
        <v>14110</v>
      </c>
      <c r="C3" s="46">
        <f>J50</f>
        <v>10570</v>
      </c>
    </row>
    <row r="4">
      <c r="A4" s="6" t="s">
        <v>767</v>
      </c>
      <c r="B4" s="46">
        <f>C88</f>
        <v>13548</v>
      </c>
      <c r="C4" s="46">
        <f>J88</f>
        <v>17938</v>
      </c>
    </row>
    <row r="5">
      <c r="A5" s="6" t="s">
        <v>768</v>
      </c>
      <c r="B5" s="46">
        <f>C134</f>
        <v>102836.95</v>
      </c>
      <c r="C5" s="46">
        <f>J134</f>
        <v>25210</v>
      </c>
    </row>
    <row r="6">
      <c r="A6" s="6" t="s">
        <v>769</v>
      </c>
      <c r="B6" s="46">
        <f>C167</f>
        <v>13995.7</v>
      </c>
      <c r="C6" s="46">
        <f>J167</f>
        <v>14485</v>
      </c>
    </row>
    <row r="7">
      <c r="A7" s="6" t="s">
        <v>770</v>
      </c>
      <c r="B7" s="46">
        <f>B38</f>
        <v>25890.62</v>
      </c>
      <c r="C7" s="46">
        <f>I38</f>
        <v>40282.62</v>
      </c>
    </row>
    <row r="8">
      <c r="A8" s="6" t="s">
        <v>771</v>
      </c>
      <c r="B8" s="46">
        <f>B173</f>
        <v>70</v>
      </c>
      <c r="C8" s="46">
        <f>I173</f>
        <v>1475</v>
      </c>
    </row>
    <row r="19">
      <c r="A19" s="108" t="s">
        <v>0</v>
      </c>
      <c r="B19" s="109" t="s">
        <v>1</v>
      </c>
      <c r="H19" s="108" t="s">
        <v>0</v>
      </c>
      <c r="I19" s="109" t="s">
        <v>772</v>
      </c>
    </row>
    <row r="20">
      <c r="A20" s="143" t="s">
        <v>773</v>
      </c>
      <c r="B20" s="188" t="s">
        <v>3</v>
      </c>
      <c r="C20" s="189" t="s">
        <v>92</v>
      </c>
      <c r="D20" s="160" t="s">
        <v>216</v>
      </c>
      <c r="E20" s="169" t="s">
        <v>774</v>
      </c>
      <c r="F20" s="34" t="s">
        <v>54</v>
      </c>
      <c r="G20" s="12" t="s">
        <v>775</v>
      </c>
      <c r="H20" s="143" t="s">
        <v>773</v>
      </c>
      <c r="I20" s="144" t="s">
        <v>52</v>
      </c>
      <c r="J20" s="190" t="s">
        <v>92</v>
      </c>
      <c r="K20" s="160" t="s">
        <v>216</v>
      </c>
      <c r="L20" s="169" t="s">
        <v>774</v>
      </c>
      <c r="M20" s="34" t="s">
        <v>54</v>
      </c>
      <c r="N20" s="12" t="s">
        <v>775</v>
      </c>
    </row>
    <row r="21">
      <c r="A21" s="6" t="s">
        <v>658</v>
      </c>
      <c r="B21" s="6">
        <v>15000.0</v>
      </c>
      <c r="C21" s="191">
        <v>15000.0</v>
      </c>
      <c r="D21" s="153"/>
      <c r="E21" s="169" t="s">
        <v>776</v>
      </c>
      <c r="F21" s="166" t="s">
        <v>777</v>
      </c>
      <c r="G21" s="12">
        <v>2.0</v>
      </c>
      <c r="H21" s="6" t="s">
        <v>658</v>
      </c>
      <c r="I21" s="6">
        <v>15000.0</v>
      </c>
      <c r="J21" s="192">
        <v>8000.0</v>
      </c>
      <c r="K21" s="153"/>
      <c r="L21" s="169" t="s">
        <v>778</v>
      </c>
      <c r="M21" s="34" t="s">
        <v>779</v>
      </c>
      <c r="N21" s="12">
        <v>2.0</v>
      </c>
    </row>
    <row r="22">
      <c r="A22" s="6" t="s">
        <v>652</v>
      </c>
      <c r="B22" s="6">
        <v>10000.0</v>
      </c>
      <c r="C22" s="191">
        <v>8000.0</v>
      </c>
      <c r="D22" s="153"/>
      <c r="E22" s="169" t="s">
        <v>780</v>
      </c>
      <c r="F22" s="166" t="s">
        <v>776</v>
      </c>
      <c r="G22" s="12">
        <v>4.0</v>
      </c>
      <c r="H22" s="6" t="s">
        <v>652</v>
      </c>
      <c r="I22" s="6">
        <v>10000.0</v>
      </c>
      <c r="J22" s="192">
        <v>8500.0</v>
      </c>
      <c r="K22" s="153"/>
      <c r="L22" s="169" t="s">
        <v>65</v>
      </c>
      <c r="M22" s="166" t="s">
        <v>781</v>
      </c>
      <c r="N22" s="12">
        <v>5.0</v>
      </c>
    </row>
    <row r="23">
      <c r="A23" s="6" t="s">
        <v>665</v>
      </c>
      <c r="B23" s="6">
        <v>11000.0</v>
      </c>
      <c r="C23" s="191">
        <v>10000.0</v>
      </c>
      <c r="D23" s="153"/>
      <c r="E23" s="169" t="s">
        <v>782</v>
      </c>
      <c r="F23" s="166" t="s">
        <v>783</v>
      </c>
      <c r="G23" s="12">
        <v>4.0</v>
      </c>
      <c r="H23" s="6" t="s">
        <v>665</v>
      </c>
      <c r="I23" s="6">
        <v>11000.0</v>
      </c>
      <c r="J23" s="192">
        <v>10500.0</v>
      </c>
      <c r="K23" s="153"/>
      <c r="L23" s="169" t="s">
        <v>779</v>
      </c>
      <c r="M23" s="166" t="s">
        <v>784</v>
      </c>
      <c r="N23" s="12">
        <v>2.0</v>
      </c>
    </row>
    <row r="24">
      <c r="A24" s="6" t="s">
        <v>661</v>
      </c>
      <c r="B24" s="6">
        <v>15000.0</v>
      </c>
      <c r="C24" s="191">
        <v>14500.0</v>
      </c>
      <c r="D24" s="152"/>
      <c r="E24" s="169" t="s">
        <v>785</v>
      </c>
      <c r="F24" s="166" t="s">
        <v>786</v>
      </c>
      <c r="G24" s="12">
        <v>15.0</v>
      </c>
      <c r="H24" s="6" t="s">
        <v>619</v>
      </c>
      <c r="I24" s="6">
        <v>12000.0</v>
      </c>
      <c r="J24" s="192">
        <v>11000.0</v>
      </c>
      <c r="K24" s="153"/>
      <c r="L24" s="169" t="s">
        <v>787</v>
      </c>
      <c r="M24" s="166" t="s">
        <v>788</v>
      </c>
      <c r="N24" s="12">
        <v>4.0</v>
      </c>
    </row>
    <row r="25">
      <c r="A25" s="6" t="s">
        <v>659</v>
      </c>
      <c r="B25" s="6" t="s">
        <v>789</v>
      </c>
      <c r="C25" s="191"/>
      <c r="D25" s="153"/>
      <c r="E25" s="169" t="s">
        <v>790</v>
      </c>
      <c r="F25" s="166" t="s">
        <v>791</v>
      </c>
      <c r="G25" s="12">
        <v>23.0</v>
      </c>
      <c r="H25" s="6" t="s">
        <v>389</v>
      </c>
      <c r="I25" s="6">
        <v>12000.0</v>
      </c>
      <c r="J25" s="192"/>
      <c r="K25" s="153">
        <v>12000.0</v>
      </c>
      <c r="L25" s="169" t="s">
        <v>792</v>
      </c>
      <c r="M25" s="34" t="s">
        <v>793</v>
      </c>
      <c r="N25" s="12">
        <v>4.0</v>
      </c>
    </row>
    <row r="26">
      <c r="A26" s="6" t="s">
        <v>572</v>
      </c>
      <c r="B26" s="6" t="s">
        <v>789</v>
      </c>
      <c r="C26" s="191"/>
      <c r="D26" s="153"/>
      <c r="E26" s="169" t="s">
        <v>794</v>
      </c>
      <c r="F26" s="166" t="s">
        <v>791</v>
      </c>
      <c r="G26" s="12">
        <v>17.0</v>
      </c>
      <c r="H26" s="6" t="s">
        <v>661</v>
      </c>
      <c r="I26" s="6" t="s">
        <v>795</v>
      </c>
      <c r="J26" s="192"/>
      <c r="K26" s="152"/>
      <c r="L26" s="169" t="s">
        <v>796</v>
      </c>
      <c r="M26" s="166"/>
      <c r="N26" s="12"/>
    </row>
    <row r="27">
      <c r="C27" s="191"/>
      <c r="D27" s="153"/>
      <c r="E27" s="170"/>
      <c r="F27" s="166"/>
      <c r="G27" s="12"/>
      <c r="H27" s="6" t="s">
        <v>659</v>
      </c>
      <c r="I27" s="6">
        <v>14000.0</v>
      </c>
      <c r="J27" s="192">
        <v>14000.0</v>
      </c>
      <c r="K27" s="153"/>
      <c r="L27" s="169" t="s">
        <v>790</v>
      </c>
      <c r="M27" s="166" t="s">
        <v>791</v>
      </c>
      <c r="N27" s="12">
        <v>23.0</v>
      </c>
    </row>
    <row r="28">
      <c r="A28" s="6" t="s">
        <v>50</v>
      </c>
      <c r="B28" s="6">
        <v>16000.0</v>
      </c>
      <c r="C28" s="191"/>
      <c r="D28" s="153">
        <v>16000.0</v>
      </c>
      <c r="E28" s="193" t="s">
        <v>797</v>
      </c>
      <c r="F28" s="34" t="s">
        <v>798</v>
      </c>
      <c r="G28" s="12">
        <v>5.0</v>
      </c>
      <c r="H28" s="6" t="s">
        <v>572</v>
      </c>
      <c r="I28" s="6">
        <v>10000.0</v>
      </c>
      <c r="J28" s="192"/>
      <c r="K28" s="153">
        <v>10000.0</v>
      </c>
      <c r="L28" s="169" t="s">
        <v>794</v>
      </c>
      <c r="M28" s="166" t="s">
        <v>793</v>
      </c>
      <c r="N28" s="12">
        <v>40.0</v>
      </c>
    </row>
    <row r="29">
      <c r="B29" s="6">
        <v>12000.0</v>
      </c>
      <c r="C29" s="191"/>
      <c r="D29" s="153">
        <v>12000.0</v>
      </c>
      <c r="E29" s="194"/>
      <c r="H29" s="6" t="s">
        <v>659</v>
      </c>
      <c r="I29" s="6" t="s">
        <v>795</v>
      </c>
      <c r="J29" s="126"/>
    </row>
    <row r="30">
      <c r="C30" s="191"/>
      <c r="D30" s="152"/>
      <c r="E30" s="194"/>
      <c r="J30" s="192"/>
      <c r="K30" s="152"/>
      <c r="L30" s="194"/>
    </row>
    <row r="31">
      <c r="C31" s="126"/>
      <c r="D31" s="163"/>
      <c r="E31" s="170"/>
      <c r="J31" s="195"/>
      <c r="K31" s="163"/>
      <c r="L31" s="170"/>
    </row>
    <row r="32">
      <c r="C32" s="126"/>
      <c r="D32" s="163"/>
      <c r="E32" s="170"/>
      <c r="J32" s="195"/>
      <c r="K32" s="163"/>
      <c r="L32" s="170"/>
    </row>
    <row r="33">
      <c r="C33" s="126"/>
      <c r="D33" s="163"/>
      <c r="E33" s="170"/>
      <c r="H33" s="6" t="s">
        <v>799</v>
      </c>
      <c r="I33" s="6">
        <v>70.0</v>
      </c>
      <c r="J33" s="195"/>
      <c r="K33" s="163"/>
      <c r="L33" s="170"/>
    </row>
    <row r="34">
      <c r="A34" s="6" t="s">
        <v>92</v>
      </c>
      <c r="B34" s="179">
        <v>86671.62</v>
      </c>
      <c r="C34" s="196">
        <v>86671.62</v>
      </c>
      <c r="D34" s="152"/>
      <c r="E34" s="194"/>
      <c r="H34" s="6" t="s">
        <v>92</v>
      </c>
      <c r="I34" s="179">
        <v>25890.62</v>
      </c>
      <c r="J34" s="197">
        <v>25890.62</v>
      </c>
      <c r="K34" s="152"/>
      <c r="L34" s="194"/>
    </row>
    <row r="35">
      <c r="A35" s="6" t="s">
        <v>631</v>
      </c>
      <c r="B35" s="6">
        <v>8465.0</v>
      </c>
      <c r="C35" s="198"/>
      <c r="D35" s="152"/>
      <c r="E35" s="194"/>
      <c r="H35" s="6" t="s">
        <v>631</v>
      </c>
      <c r="J35" s="199"/>
      <c r="K35" s="152"/>
      <c r="L35" s="194"/>
    </row>
    <row r="36">
      <c r="A36" s="169" t="s">
        <v>626</v>
      </c>
      <c r="B36" s="170"/>
      <c r="C36" s="51"/>
      <c r="D36" s="152">
        <f>SUM(D21:D35)</f>
        <v>28000</v>
      </c>
      <c r="E36" s="194"/>
      <c r="H36" s="169" t="s">
        <v>626</v>
      </c>
      <c r="I36" s="170"/>
      <c r="J36" s="169" t="s">
        <v>626</v>
      </c>
      <c r="K36" s="152">
        <f>SUM(K21:K35)</f>
        <v>22000</v>
      </c>
      <c r="L36" s="194"/>
    </row>
    <row r="37">
      <c r="A37" s="145" t="s">
        <v>404</v>
      </c>
      <c r="B37" s="142">
        <f>SUM(B21:B36)</f>
        <v>174136.62</v>
      </c>
      <c r="C37" s="198"/>
      <c r="D37" s="152"/>
      <c r="E37" s="146"/>
      <c r="H37" s="145" t="s">
        <v>404</v>
      </c>
      <c r="I37" s="142">
        <f>SUM(I21:I36)</f>
        <v>109960.62</v>
      </c>
      <c r="J37" s="199"/>
      <c r="K37" s="152"/>
      <c r="L37" s="146"/>
    </row>
    <row r="38">
      <c r="A38" s="6" t="s">
        <v>492</v>
      </c>
      <c r="B38" s="46">
        <f>SUM(C21:C35)-D168</f>
        <v>25890.62</v>
      </c>
      <c r="C38" s="200" t="s">
        <v>722</v>
      </c>
      <c r="D38" s="178"/>
      <c r="E38" s="201"/>
      <c r="H38" s="6" t="s">
        <v>492</v>
      </c>
      <c r="I38" s="46">
        <f>SUM(J21:J35)-K168</f>
        <v>40282.62</v>
      </c>
      <c r="J38" s="202" t="s">
        <v>722</v>
      </c>
      <c r="K38" s="178"/>
      <c r="L38" s="201"/>
    </row>
    <row r="39">
      <c r="A39" s="169" t="s">
        <v>626</v>
      </c>
      <c r="B39" s="170">
        <f>D36-E168</f>
        <v>2000</v>
      </c>
      <c r="C39" s="203" t="s">
        <v>723</v>
      </c>
      <c r="D39" s="204">
        <f>B38-D38</f>
        <v>25890.62</v>
      </c>
      <c r="E39" s="170"/>
      <c r="H39" s="169" t="s">
        <v>626</v>
      </c>
      <c r="I39" s="170">
        <f>K36-L168</f>
        <v>0</v>
      </c>
      <c r="J39" s="205" t="s">
        <v>723</v>
      </c>
      <c r="K39" s="204">
        <f>I38-K38</f>
        <v>40282.62</v>
      </c>
      <c r="L39" s="170"/>
    </row>
    <row r="40">
      <c r="A40" s="6" t="s">
        <v>93</v>
      </c>
      <c r="B40" s="6">
        <v>185.35</v>
      </c>
      <c r="C40" s="126"/>
      <c r="D40" s="152"/>
      <c r="E40" s="146"/>
      <c r="H40" s="6" t="s">
        <v>93</v>
      </c>
      <c r="J40" s="195"/>
      <c r="K40" s="152"/>
      <c r="L40" s="146"/>
    </row>
    <row r="41">
      <c r="A41" s="53" t="s">
        <v>493</v>
      </c>
      <c r="C41" s="126"/>
      <c r="D41" s="152"/>
      <c r="E41" s="146"/>
      <c r="H41" s="53" t="s">
        <v>493</v>
      </c>
      <c r="J41" s="195"/>
      <c r="K41" s="152"/>
      <c r="L41" s="146"/>
    </row>
    <row r="42">
      <c r="A42" s="6" t="s">
        <v>800</v>
      </c>
      <c r="B42" s="6">
        <v>1000.0</v>
      </c>
      <c r="C42" s="126"/>
      <c r="D42" s="153"/>
      <c r="E42" s="171"/>
      <c r="H42" s="6" t="s">
        <v>180</v>
      </c>
      <c r="I42" s="6">
        <v>50.0</v>
      </c>
      <c r="J42" s="206">
        <v>1.0</v>
      </c>
      <c r="K42" s="153"/>
      <c r="L42" s="171"/>
    </row>
    <row r="43">
      <c r="A43" s="6" t="s">
        <v>801</v>
      </c>
      <c r="B43" s="6">
        <v>610.0</v>
      </c>
      <c r="C43" s="126"/>
      <c r="D43" s="153"/>
      <c r="E43" s="146"/>
      <c r="H43" s="6" t="s">
        <v>180</v>
      </c>
      <c r="I43" s="6">
        <v>100.0</v>
      </c>
      <c r="J43" s="206">
        <v>7.0</v>
      </c>
      <c r="K43" s="153"/>
      <c r="L43" s="146"/>
    </row>
    <row r="44">
      <c r="A44" s="6" t="s">
        <v>802</v>
      </c>
      <c r="B44" s="6">
        <v>1500.0</v>
      </c>
      <c r="C44" s="126"/>
      <c r="D44" s="153"/>
      <c r="E44" s="146"/>
      <c r="H44" s="6" t="s">
        <v>180</v>
      </c>
      <c r="I44" s="6">
        <v>10000.0</v>
      </c>
      <c r="J44" s="206">
        <v>16.0</v>
      </c>
      <c r="K44" s="153">
        <v>10000.0</v>
      </c>
      <c r="L44" s="146"/>
    </row>
    <row r="45">
      <c r="A45" s="6" t="s">
        <v>803</v>
      </c>
      <c r="B45" s="6">
        <v>5000.0</v>
      </c>
      <c r="C45" s="189"/>
      <c r="D45" s="161">
        <v>5000.0</v>
      </c>
      <c r="E45" s="170"/>
      <c r="H45" s="6" t="s">
        <v>34</v>
      </c>
      <c r="I45" s="6">
        <v>20.0</v>
      </c>
      <c r="J45" s="190"/>
      <c r="K45" s="163"/>
      <c r="L45" s="170"/>
    </row>
    <row r="46">
      <c r="A46" s="6" t="s">
        <v>180</v>
      </c>
      <c r="B46" s="6">
        <v>1000.0</v>
      </c>
      <c r="C46" s="51">
        <v>17.0</v>
      </c>
      <c r="D46" s="161">
        <v>1000.0</v>
      </c>
      <c r="E46" s="170"/>
      <c r="H46" s="6" t="s">
        <v>804</v>
      </c>
      <c r="I46" s="6">
        <v>400.0</v>
      </c>
      <c r="J46" s="206">
        <v>19.0</v>
      </c>
      <c r="K46" s="163"/>
      <c r="L46" s="170"/>
    </row>
    <row r="47">
      <c r="A47" s="6" t="s">
        <v>440</v>
      </c>
      <c r="B47" s="6">
        <v>5000.0</v>
      </c>
      <c r="C47" s="51">
        <v>25.0</v>
      </c>
      <c r="D47" s="161">
        <v>5000.0</v>
      </c>
      <c r="E47" s="170"/>
      <c r="J47" s="195"/>
      <c r="K47" s="163"/>
      <c r="L47" s="170"/>
    </row>
    <row r="48">
      <c r="A48" s="6" t="s">
        <v>34</v>
      </c>
      <c r="B48" s="6">
        <v>1000.0</v>
      </c>
      <c r="C48" s="51">
        <v>26.0</v>
      </c>
      <c r="D48" s="161">
        <v>1020.0</v>
      </c>
      <c r="E48" s="170"/>
      <c r="J48" s="195"/>
      <c r="K48" s="163"/>
      <c r="L48" s="170"/>
    </row>
    <row r="49">
      <c r="A49" s="6" t="s">
        <v>606</v>
      </c>
      <c r="B49" s="6">
        <v>500.0</v>
      </c>
      <c r="C49" s="126"/>
      <c r="D49" s="161">
        <v>500.0</v>
      </c>
      <c r="E49" s="170"/>
      <c r="J49" s="195"/>
      <c r="K49" s="163"/>
      <c r="L49" s="170"/>
    </row>
    <row r="50">
      <c r="B50" s="182" t="s">
        <v>283</v>
      </c>
      <c r="C50" s="198">
        <f>SUM(B42:B47)</f>
        <v>14110</v>
      </c>
      <c r="D50" s="163"/>
      <c r="E50" s="207"/>
      <c r="I50" s="182" t="s">
        <v>283</v>
      </c>
      <c r="J50" s="199">
        <f>SUM(I42:I49)</f>
        <v>10570</v>
      </c>
      <c r="K50" s="163"/>
      <c r="L50" s="207"/>
    </row>
    <row r="51">
      <c r="A51" s="53" t="s">
        <v>224</v>
      </c>
      <c r="C51" s="126"/>
      <c r="D51" s="152"/>
      <c r="E51" s="146"/>
      <c r="H51" s="53" t="s">
        <v>224</v>
      </c>
      <c r="J51" s="195"/>
      <c r="K51" s="152"/>
      <c r="L51" s="146"/>
    </row>
    <row r="52">
      <c r="A52" s="176" t="s">
        <v>19</v>
      </c>
      <c r="B52" s="176"/>
      <c r="C52" s="126"/>
      <c r="D52" s="163"/>
      <c r="E52" s="170"/>
      <c r="H52" s="176" t="s">
        <v>19</v>
      </c>
      <c r="I52" s="176"/>
      <c r="J52" s="195"/>
      <c r="K52" s="163"/>
      <c r="L52" s="170"/>
    </row>
    <row r="53">
      <c r="A53" s="184" t="s">
        <v>631</v>
      </c>
      <c r="B53" s="208">
        <v>1018.0</v>
      </c>
      <c r="C53" s="209">
        <v>3.0</v>
      </c>
      <c r="D53" s="153"/>
      <c r="E53" s="146"/>
      <c r="H53" s="184" t="s">
        <v>805</v>
      </c>
      <c r="I53" s="208">
        <v>2000.0</v>
      </c>
      <c r="J53" s="210">
        <v>1.0</v>
      </c>
      <c r="K53" s="153">
        <v>2000.0</v>
      </c>
      <c r="L53" s="146"/>
    </row>
    <row r="54">
      <c r="A54" s="6" t="s">
        <v>186</v>
      </c>
      <c r="B54" s="6">
        <v>500.0</v>
      </c>
      <c r="C54" s="189">
        <v>5.0</v>
      </c>
      <c r="D54" s="153">
        <v>500.0</v>
      </c>
      <c r="E54" s="146"/>
      <c r="H54" s="6" t="s">
        <v>186</v>
      </c>
      <c r="I54" s="6">
        <v>500.0</v>
      </c>
      <c r="J54" s="190">
        <v>2.0</v>
      </c>
      <c r="K54" s="153">
        <v>500.0</v>
      </c>
      <c r="L54" s="146"/>
    </row>
    <row r="55">
      <c r="A55" s="6" t="s">
        <v>806</v>
      </c>
      <c r="B55" s="6">
        <v>1000.0</v>
      </c>
      <c r="C55" s="51">
        <v>7.0</v>
      </c>
      <c r="D55" s="152"/>
      <c r="E55" s="146"/>
      <c r="H55" s="6" t="s">
        <v>807</v>
      </c>
      <c r="I55" s="6">
        <v>418.0</v>
      </c>
      <c r="J55" s="206">
        <v>3.0</v>
      </c>
      <c r="K55" s="153">
        <v>418.0</v>
      </c>
      <c r="L55" s="146"/>
    </row>
    <row r="56">
      <c r="A56" s="6" t="s">
        <v>808</v>
      </c>
      <c r="B56" s="6">
        <v>3000.0</v>
      </c>
      <c r="C56" s="51">
        <v>8.0</v>
      </c>
      <c r="D56" s="153">
        <v>5000.0</v>
      </c>
      <c r="E56" s="171"/>
      <c r="H56" s="6" t="s">
        <v>748</v>
      </c>
      <c r="I56" s="6">
        <v>-500.0</v>
      </c>
      <c r="J56" s="206"/>
      <c r="K56" s="153"/>
      <c r="L56" s="171"/>
    </row>
    <row r="57">
      <c r="A57" s="6" t="s">
        <v>809</v>
      </c>
      <c r="B57" s="6">
        <v>1500.0</v>
      </c>
      <c r="C57" s="51">
        <v>10.0</v>
      </c>
      <c r="D57" s="161">
        <v>1500.0</v>
      </c>
      <c r="E57" s="171"/>
      <c r="H57" s="6" t="s">
        <v>689</v>
      </c>
      <c r="I57" s="6">
        <v>600.0</v>
      </c>
      <c r="J57" s="206">
        <v>7.0</v>
      </c>
      <c r="K57" s="161"/>
      <c r="L57" s="171"/>
    </row>
    <row r="58">
      <c r="A58" s="6" t="s">
        <v>409</v>
      </c>
      <c r="B58" s="6">
        <v>100.0</v>
      </c>
      <c r="C58" s="189">
        <v>11.0</v>
      </c>
      <c r="D58" s="153">
        <v>100.0</v>
      </c>
      <c r="E58" s="171"/>
      <c r="H58" s="6" t="s">
        <v>810</v>
      </c>
      <c r="I58" s="6">
        <v>4000.0</v>
      </c>
      <c r="J58" s="190">
        <v>10.0</v>
      </c>
      <c r="K58" s="161"/>
      <c r="L58" s="171">
        <v>4000.0</v>
      </c>
    </row>
    <row r="59">
      <c r="A59" s="6" t="s">
        <v>50</v>
      </c>
      <c r="B59" s="6">
        <v>1500.0</v>
      </c>
      <c r="C59" s="51">
        <v>13.0</v>
      </c>
      <c r="D59" s="161">
        <v>1500.0</v>
      </c>
      <c r="E59" s="171"/>
      <c r="H59" s="6" t="s">
        <v>811</v>
      </c>
      <c r="I59" s="6">
        <v>1000.0</v>
      </c>
      <c r="J59" s="206">
        <v>15.0</v>
      </c>
      <c r="K59" s="161"/>
      <c r="L59" s="169">
        <v>1000.0</v>
      </c>
    </row>
    <row r="60">
      <c r="A60" s="6" t="s">
        <v>812</v>
      </c>
      <c r="B60" s="6">
        <v>1500.0</v>
      </c>
      <c r="C60" s="51">
        <v>25.0</v>
      </c>
      <c r="D60" s="161">
        <v>1500.0</v>
      </c>
      <c r="E60" s="170"/>
      <c r="H60" s="6" t="s">
        <v>813</v>
      </c>
      <c r="I60" s="6">
        <v>6630.0</v>
      </c>
      <c r="J60" s="206">
        <v>16.0</v>
      </c>
      <c r="K60" s="161">
        <v>6630.0</v>
      </c>
      <c r="L60" s="171"/>
    </row>
    <row r="61">
      <c r="B61" s="6">
        <v>1000.0</v>
      </c>
      <c r="C61" s="51">
        <v>25.0</v>
      </c>
      <c r="D61" s="161">
        <v>1000.0</v>
      </c>
      <c r="E61" s="171"/>
      <c r="H61" s="6" t="s">
        <v>814</v>
      </c>
      <c r="I61" s="6">
        <v>10.0</v>
      </c>
      <c r="J61" s="195"/>
      <c r="K61" s="161">
        <v>10.0</v>
      </c>
      <c r="L61" s="171"/>
    </row>
    <row r="62">
      <c r="A62" s="6" t="s">
        <v>186</v>
      </c>
      <c r="B62" s="6">
        <v>700.0</v>
      </c>
      <c r="C62" s="126"/>
      <c r="D62" s="163"/>
      <c r="E62" s="171">
        <v>700.0</v>
      </c>
      <c r="H62" s="6" t="s">
        <v>674</v>
      </c>
      <c r="I62" s="6">
        <v>1000.0</v>
      </c>
      <c r="J62" s="206">
        <v>16.0</v>
      </c>
      <c r="K62" s="163"/>
      <c r="L62" s="171">
        <v>1000.0</v>
      </c>
    </row>
    <row r="63">
      <c r="A63" s="6" t="s">
        <v>186</v>
      </c>
      <c r="B63" s="6">
        <v>50.0</v>
      </c>
      <c r="C63" s="51">
        <v>19.0</v>
      </c>
      <c r="D63" s="163"/>
      <c r="E63" s="171"/>
      <c r="H63" s="6" t="s">
        <v>186</v>
      </c>
      <c r="I63" s="6">
        <v>100.0</v>
      </c>
      <c r="J63" s="206">
        <v>18.0</v>
      </c>
      <c r="K63" s="161"/>
      <c r="L63" s="169">
        <v>500.0</v>
      </c>
    </row>
    <row r="64">
      <c r="B64" s="6">
        <v>1500.0</v>
      </c>
      <c r="C64" s="126"/>
      <c r="D64" s="161">
        <v>1500.0</v>
      </c>
      <c r="E64" s="170"/>
      <c r="I64" s="6">
        <v>500.0</v>
      </c>
      <c r="J64" s="195"/>
    </row>
    <row r="65">
      <c r="B65" s="6">
        <v>180.0</v>
      </c>
      <c r="C65" s="126"/>
      <c r="D65" s="153">
        <v>180.0</v>
      </c>
      <c r="E65" s="171"/>
      <c r="H65" s="6" t="s">
        <v>330</v>
      </c>
      <c r="I65" s="6">
        <v>1500.0</v>
      </c>
      <c r="J65" s="206">
        <v>20.0</v>
      </c>
      <c r="K65" s="153">
        <v>1500.0</v>
      </c>
      <c r="L65" s="171"/>
    </row>
    <row r="66">
      <c r="C66" s="126"/>
      <c r="D66" s="153"/>
      <c r="E66" s="171"/>
      <c r="H66" s="6" t="s">
        <v>116</v>
      </c>
      <c r="I66" s="6">
        <v>180.0</v>
      </c>
      <c r="J66" s="195"/>
      <c r="K66" s="153">
        <v>180.0</v>
      </c>
      <c r="L66" s="171"/>
    </row>
    <row r="67">
      <c r="C67" s="126"/>
      <c r="D67" s="153"/>
      <c r="E67" s="171"/>
      <c r="J67" s="195"/>
      <c r="K67" s="153"/>
      <c r="L67" s="171"/>
    </row>
    <row r="68">
      <c r="C68" s="126"/>
      <c r="D68" s="153"/>
      <c r="E68" s="146"/>
      <c r="J68" s="195"/>
      <c r="K68" s="153"/>
      <c r="L68" s="146"/>
    </row>
    <row r="69">
      <c r="C69" s="126"/>
      <c r="D69" s="153"/>
      <c r="E69" s="171"/>
      <c r="J69" s="195"/>
      <c r="K69" s="153"/>
      <c r="L69" s="171"/>
    </row>
    <row r="70">
      <c r="C70" s="126"/>
      <c r="D70" s="163"/>
      <c r="E70" s="171"/>
      <c r="J70" s="195"/>
      <c r="K70" s="163"/>
      <c r="L70" s="171"/>
    </row>
    <row r="71">
      <c r="C71" s="126"/>
      <c r="D71" s="163"/>
      <c r="E71" s="171"/>
      <c r="J71" s="195"/>
      <c r="K71" s="163"/>
      <c r="L71" s="171"/>
    </row>
    <row r="72">
      <c r="C72" s="126"/>
      <c r="D72" s="163"/>
      <c r="E72" s="171"/>
      <c r="J72" s="195"/>
      <c r="K72" s="163"/>
      <c r="L72" s="171"/>
    </row>
    <row r="73">
      <c r="C73" s="126"/>
      <c r="D73" s="163"/>
      <c r="E73" s="171"/>
      <c r="J73" s="195"/>
      <c r="K73" s="163"/>
      <c r="L73" s="171"/>
    </row>
    <row r="74">
      <c r="C74" s="126"/>
      <c r="D74" s="163"/>
      <c r="E74" s="171"/>
      <c r="J74" s="195"/>
      <c r="K74" s="163"/>
      <c r="L74" s="171"/>
    </row>
    <row r="75">
      <c r="C75" s="126"/>
      <c r="D75" s="152"/>
      <c r="E75" s="171"/>
      <c r="J75" s="195"/>
      <c r="K75" s="152"/>
      <c r="L75" s="171"/>
    </row>
    <row r="76">
      <c r="C76" s="126"/>
      <c r="D76" s="153"/>
      <c r="E76" s="171"/>
      <c r="J76" s="195"/>
      <c r="K76" s="153"/>
      <c r="L76" s="171"/>
    </row>
    <row r="77">
      <c r="C77" s="126"/>
      <c r="D77" s="153"/>
      <c r="E77" s="171"/>
      <c r="J77" s="195"/>
      <c r="K77" s="153"/>
      <c r="L77" s="171"/>
    </row>
    <row r="78">
      <c r="C78" s="126"/>
      <c r="D78" s="153"/>
      <c r="E78" s="171"/>
      <c r="J78" s="195"/>
      <c r="K78" s="153"/>
      <c r="L78" s="171"/>
    </row>
    <row r="79">
      <c r="C79" s="126"/>
      <c r="D79" s="153"/>
      <c r="E79" s="146"/>
      <c r="J79" s="195"/>
      <c r="K79" s="153"/>
      <c r="L79" s="146"/>
    </row>
    <row r="80">
      <c r="C80" s="126"/>
      <c r="D80" s="153"/>
      <c r="E80" s="146"/>
      <c r="J80" s="195"/>
      <c r="K80" s="153"/>
      <c r="L80" s="146"/>
    </row>
    <row r="81">
      <c r="C81" s="126"/>
      <c r="D81" s="163"/>
      <c r="E81" s="170"/>
      <c r="J81" s="195"/>
      <c r="K81" s="163"/>
      <c r="L81" s="170"/>
    </row>
    <row r="82">
      <c r="C82" s="126"/>
      <c r="D82" s="163"/>
      <c r="E82" s="170"/>
      <c r="J82" s="195"/>
      <c r="K82" s="163"/>
      <c r="L82" s="170"/>
    </row>
    <row r="83">
      <c r="C83" s="126"/>
      <c r="D83" s="163"/>
      <c r="E83" s="170"/>
      <c r="J83" s="195"/>
      <c r="K83" s="163"/>
      <c r="L83" s="170"/>
    </row>
    <row r="84">
      <c r="C84" s="126"/>
      <c r="D84" s="163"/>
      <c r="E84" s="170"/>
      <c r="J84" s="195"/>
      <c r="K84" s="163"/>
      <c r="L84" s="170"/>
    </row>
    <row r="85">
      <c r="C85" s="126"/>
      <c r="D85" s="163"/>
      <c r="E85" s="170"/>
      <c r="J85" s="195"/>
      <c r="K85" s="163"/>
      <c r="L85" s="170"/>
    </row>
    <row r="86">
      <c r="C86" s="126"/>
      <c r="D86" s="163"/>
      <c r="E86" s="170"/>
      <c r="J86" s="195"/>
      <c r="K86" s="163"/>
      <c r="L86" s="170"/>
    </row>
    <row r="87">
      <c r="C87" s="126"/>
      <c r="D87" s="163"/>
      <c r="E87" s="170"/>
      <c r="J87" s="195"/>
      <c r="K87" s="163"/>
      <c r="L87" s="170"/>
    </row>
    <row r="88">
      <c r="B88" s="182" t="s">
        <v>283</v>
      </c>
      <c r="C88" s="198">
        <f>SUM(B52:B80)</f>
        <v>13548</v>
      </c>
      <c r="D88" s="163"/>
      <c r="E88" s="207"/>
      <c r="I88" s="182" t="s">
        <v>283</v>
      </c>
      <c r="J88" s="199">
        <f>SUM(I52:I87)</f>
        <v>17938</v>
      </c>
      <c r="K88" s="163"/>
      <c r="L88" s="207"/>
    </row>
    <row r="89">
      <c r="A89" s="53" t="s">
        <v>505</v>
      </c>
      <c r="C89" s="126"/>
      <c r="D89" s="152"/>
      <c r="E89" s="146"/>
      <c r="H89" s="53" t="s">
        <v>505</v>
      </c>
      <c r="J89" s="195"/>
      <c r="K89" s="152"/>
      <c r="L89" s="146"/>
    </row>
    <row r="90">
      <c r="A90" s="156"/>
      <c r="B90" s="208">
        <v>16000.0</v>
      </c>
      <c r="C90" s="211"/>
      <c r="D90" s="212">
        <v>16000.0</v>
      </c>
      <c r="E90" s="146"/>
      <c r="H90" s="184" t="s">
        <v>815</v>
      </c>
      <c r="I90" s="208">
        <v>425.0</v>
      </c>
      <c r="J90" s="213">
        <v>4.0</v>
      </c>
      <c r="K90" s="212"/>
      <c r="L90" s="146"/>
    </row>
    <row r="91">
      <c r="A91" s="184" t="s">
        <v>816</v>
      </c>
      <c r="B91" s="208">
        <v>1350.0</v>
      </c>
      <c r="C91" s="214">
        <v>4.0</v>
      </c>
      <c r="D91" s="212">
        <v>1500.0</v>
      </c>
      <c r="E91" s="146"/>
      <c r="H91" s="184" t="s">
        <v>596</v>
      </c>
      <c r="I91" s="208">
        <v>500.0</v>
      </c>
      <c r="J91" s="213">
        <v>4.0</v>
      </c>
      <c r="K91" s="212"/>
      <c r="L91" s="146"/>
    </row>
    <row r="92">
      <c r="A92" s="184" t="s">
        <v>817</v>
      </c>
      <c r="B92" s="208">
        <v>100.0</v>
      </c>
      <c r="C92" s="211"/>
      <c r="D92" s="215"/>
      <c r="E92" s="146"/>
      <c r="H92" s="184" t="s">
        <v>818</v>
      </c>
      <c r="I92" s="208">
        <v>80.0</v>
      </c>
      <c r="J92" s="213">
        <v>6.0</v>
      </c>
      <c r="K92" s="215"/>
      <c r="L92" s="146"/>
    </row>
    <row r="93">
      <c r="A93" s="208" t="s">
        <v>819</v>
      </c>
      <c r="B93" s="6">
        <v>11215.0</v>
      </c>
      <c r="C93" s="216"/>
      <c r="D93" s="217">
        <v>11215.0</v>
      </c>
      <c r="E93" s="146"/>
      <c r="H93" s="218" t="s">
        <v>820</v>
      </c>
      <c r="I93" s="6">
        <v>120.0</v>
      </c>
      <c r="J93" s="210">
        <v>5.0</v>
      </c>
      <c r="K93" s="217"/>
      <c r="L93" s="146"/>
    </row>
    <row r="94">
      <c r="A94" s="184" t="s">
        <v>177</v>
      </c>
      <c r="B94" s="208">
        <v>3000.0</v>
      </c>
      <c r="C94" s="214">
        <v>4.0</v>
      </c>
      <c r="D94" s="212">
        <v>5500.0</v>
      </c>
      <c r="E94" s="146"/>
      <c r="H94" s="184" t="s">
        <v>331</v>
      </c>
      <c r="I94" s="208">
        <v>110.0</v>
      </c>
      <c r="J94" s="213"/>
      <c r="K94" s="212"/>
      <c r="L94" s="146"/>
    </row>
    <row r="95">
      <c r="A95" s="6" t="s">
        <v>821</v>
      </c>
      <c r="B95" s="6">
        <v>1520.0</v>
      </c>
      <c r="C95" s="219">
        <v>46387.0</v>
      </c>
      <c r="D95" s="163"/>
      <c r="E95" s="146"/>
      <c r="H95" s="6" t="s">
        <v>822</v>
      </c>
      <c r="I95" s="6">
        <v>70.0</v>
      </c>
      <c r="J95" s="220"/>
      <c r="K95" s="163"/>
      <c r="L95" s="146"/>
    </row>
    <row r="96">
      <c r="A96" s="6" t="s">
        <v>823</v>
      </c>
      <c r="B96" s="6">
        <v>814.0</v>
      </c>
      <c r="C96" s="51">
        <v>1.0</v>
      </c>
      <c r="D96" s="163"/>
      <c r="E96" s="171"/>
      <c r="H96" s="6" t="s">
        <v>642</v>
      </c>
      <c r="I96" s="6">
        <v>30.0</v>
      </c>
      <c r="J96" s="206"/>
      <c r="K96" s="163"/>
      <c r="L96" s="171"/>
    </row>
    <row r="97">
      <c r="A97" s="6" t="s">
        <v>824</v>
      </c>
      <c r="B97" s="6">
        <v>2098.0</v>
      </c>
      <c r="C97" s="51">
        <v>2.0</v>
      </c>
      <c r="D97" s="215"/>
      <c r="E97" s="171"/>
      <c r="H97" s="6" t="s">
        <v>748</v>
      </c>
      <c r="I97" s="6">
        <v>500.0</v>
      </c>
      <c r="J97" s="206">
        <v>7.0</v>
      </c>
      <c r="K97" s="215"/>
      <c r="L97" s="171"/>
    </row>
    <row r="98">
      <c r="A98" s="6" t="s">
        <v>825</v>
      </c>
      <c r="B98" s="6">
        <v>2749.95</v>
      </c>
      <c r="C98" s="51">
        <v>3.0</v>
      </c>
      <c r="D98" s="152"/>
      <c r="E98" s="171"/>
      <c r="H98" s="6" t="s">
        <v>278</v>
      </c>
      <c r="I98" s="6">
        <v>11500.0</v>
      </c>
      <c r="J98" s="206">
        <v>10.0</v>
      </c>
      <c r="K98" s="152"/>
      <c r="L98" s="171">
        <v>11500.0</v>
      </c>
    </row>
    <row r="99">
      <c r="A99" s="6" t="s">
        <v>439</v>
      </c>
      <c r="B99" s="6">
        <v>1000.0</v>
      </c>
      <c r="C99" s="51">
        <v>6.0</v>
      </c>
      <c r="D99" s="153">
        <v>1000.0</v>
      </c>
      <c r="E99" s="171"/>
      <c r="H99" s="6" t="s">
        <v>826</v>
      </c>
      <c r="I99" s="6">
        <v>60.0</v>
      </c>
      <c r="J99" s="206">
        <v>14.0</v>
      </c>
      <c r="K99" s="153"/>
      <c r="L99" s="171"/>
    </row>
    <row r="100">
      <c r="A100" s="6" t="s">
        <v>827</v>
      </c>
      <c r="B100" s="6">
        <v>6300.0</v>
      </c>
      <c r="C100" s="51">
        <v>6.0</v>
      </c>
      <c r="D100" s="153">
        <v>8000.0</v>
      </c>
      <c r="E100" s="171"/>
      <c r="H100" s="6" t="s">
        <v>828</v>
      </c>
      <c r="I100" s="6">
        <v>2600.0</v>
      </c>
      <c r="J100" s="206">
        <v>14.0</v>
      </c>
      <c r="K100" s="153">
        <v>2500.0</v>
      </c>
      <c r="L100" s="171"/>
    </row>
    <row r="101">
      <c r="A101" s="6" t="s">
        <v>371</v>
      </c>
      <c r="B101" s="6">
        <v>490.0</v>
      </c>
      <c r="C101" s="126"/>
      <c r="D101" s="153"/>
      <c r="E101" s="171"/>
      <c r="H101" s="6" t="s">
        <v>829</v>
      </c>
      <c r="I101" s="46">
        <f>190+250+60+20+60+70</f>
        <v>650</v>
      </c>
      <c r="J101" s="206">
        <v>14.0</v>
      </c>
      <c r="K101" s="153">
        <v>1000.0</v>
      </c>
      <c r="L101" s="171"/>
    </row>
    <row r="102">
      <c r="A102" s="6" t="s">
        <v>331</v>
      </c>
      <c r="B102" s="6">
        <v>120.0</v>
      </c>
      <c r="C102" s="189"/>
      <c r="D102" s="152"/>
      <c r="E102" s="146"/>
      <c r="H102" s="6" t="s">
        <v>439</v>
      </c>
      <c r="I102" s="6">
        <v>1000.0</v>
      </c>
      <c r="J102" s="190">
        <v>12.0</v>
      </c>
      <c r="K102" s="153">
        <v>1000.0</v>
      </c>
      <c r="L102" s="146"/>
    </row>
    <row r="103">
      <c r="A103" s="6" t="s">
        <v>830</v>
      </c>
      <c r="B103" s="6">
        <v>100.0</v>
      </c>
      <c r="C103" s="126"/>
      <c r="D103" s="153"/>
      <c r="E103" s="146"/>
      <c r="H103" s="6" t="s">
        <v>831</v>
      </c>
      <c r="I103" s="46">
        <f>120+100+40+20+80</f>
        <v>360</v>
      </c>
      <c r="J103" s="206">
        <v>15.0</v>
      </c>
      <c r="K103" s="153"/>
      <c r="L103" s="171">
        <v>500.0</v>
      </c>
    </row>
    <row r="104">
      <c r="A104" s="6" t="s">
        <v>611</v>
      </c>
      <c r="B104" s="6">
        <v>100.0</v>
      </c>
      <c r="C104" s="51">
        <v>7.0</v>
      </c>
      <c r="D104" s="152"/>
      <c r="E104" s="171"/>
      <c r="H104" s="6" t="s">
        <v>511</v>
      </c>
      <c r="I104" s="6">
        <v>100.0</v>
      </c>
      <c r="J104" s="206"/>
      <c r="K104" s="152"/>
      <c r="L104" s="171"/>
    </row>
    <row r="105">
      <c r="A105" s="6" t="s">
        <v>691</v>
      </c>
      <c r="B105" s="6">
        <v>11500.0</v>
      </c>
      <c r="C105" s="51">
        <v>11.0</v>
      </c>
      <c r="D105" s="153">
        <v>16500.0</v>
      </c>
      <c r="E105" s="171"/>
      <c r="H105" s="6" t="s">
        <v>832</v>
      </c>
      <c r="I105" s="6">
        <v>100.0</v>
      </c>
      <c r="J105" s="206"/>
      <c r="K105" s="153"/>
      <c r="L105" s="171"/>
    </row>
    <row r="106">
      <c r="A106" s="6" t="s">
        <v>833</v>
      </c>
      <c r="B106" s="46">
        <f>260+250+110</f>
        <v>620</v>
      </c>
      <c r="C106" s="51">
        <v>11.0</v>
      </c>
      <c r="D106" s="152"/>
      <c r="E106" s="170"/>
      <c r="H106" s="6" t="s">
        <v>834</v>
      </c>
      <c r="I106" s="6">
        <v>250.0</v>
      </c>
      <c r="J106" s="206"/>
      <c r="K106" s="152"/>
      <c r="L106" s="170"/>
    </row>
    <row r="107">
      <c r="A107" s="6" t="s">
        <v>835</v>
      </c>
      <c r="B107" s="6">
        <v>1050.0</v>
      </c>
      <c r="C107" s="126"/>
      <c r="D107" s="152"/>
      <c r="E107" s="171"/>
      <c r="H107" s="6" t="s">
        <v>836</v>
      </c>
      <c r="I107" s="6">
        <v>330.0</v>
      </c>
      <c r="J107" s="195"/>
      <c r="K107" s="152"/>
      <c r="L107" s="171"/>
    </row>
    <row r="108">
      <c r="A108" s="6" t="s">
        <v>837</v>
      </c>
      <c r="B108" s="6">
        <v>250.0</v>
      </c>
      <c r="C108" s="51">
        <v>10.0</v>
      </c>
      <c r="D108" s="152"/>
      <c r="E108" s="146"/>
      <c r="H108" s="6" t="s">
        <v>838</v>
      </c>
      <c r="I108" s="6">
        <v>350.0</v>
      </c>
      <c r="J108" s="206"/>
      <c r="K108" s="152"/>
      <c r="L108" s="146"/>
    </row>
    <row r="109">
      <c r="A109" s="6" t="s">
        <v>839</v>
      </c>
      <c r="B109" s="6">
        <v>4370.0</v>
      </c>
      <c r="C109" s="51">
        <v>12.0</v>
      </c>
      <c r="D109" s="163"/>
      <c r="E109" s="170"/>
      <c r="H109" s="6" t="s">
        <v>840</v>
      </c>
      <c r="I109" s="6">
        <v>100.0</v>
      </c>
      <c r="J109" s="206"/>
      <c r="K109" s="163"/>
      <c r="L109" s="170"/>
    </row>
    <row r="110">
      <c r="A110" s="6" t="s">
        <v>841</v>
      </c>
      <c r="B110" s="46">
        <f>120+10+20</f>
        <v>150</v>
      </c>
      <c r="C110" s="51">
        <v>12.0</v>
      </c>
      <c r="D110" s="163"/>
      <c r="E110" s="170"/>
      <c r="H110" s="6" t="s">
        <v>842</v>
      </c>
      <c r="I110" s="6">
        <v>220.0</v>
      </c>
      <c r="J110" s="206"/>
      <c r="K110" s="163"/>
      <c r="L110" s="170"/>
    </row>
    <row r="111">
      <c r="A111" s="6" t="s">
        <v>843</v>
      </c>
      <c r="B111" s="6">
        <v>1160.0</v>
      </c>
      <c r="C111" s="126"/>
      <c r="D111" s="153">
        <v>3500.0</v>
      </c>
      <c r="E111" s="146"/>
      <c r="H111" s="6" t="s">
        <v>844</v>
      </c>
      <c r="I111" s="6">
        <v>170.0</v>
      </c>
      <c r="J111" s="195"/>
      <c r="K111" s="153"/>
      <c r="L111" s="146"/>
    </row>
    <row r="112">
      <c r="A112" s="6" t="s">
        <v>750</v>
      </c>
      <c r="B112" s="6">
        <v>110.0</v>
      </c>
      <c r="C112" s="126"/>
      <c r="D112" s="153"/>
      <c r="E112" s="146"/>
      <c r="H112" s="6" t="s">
        <v>845</v>
      </c>
      <c r="I112" s="6">
        <v>30.0</v>
      </c>
      <c r="J112" s="195"/>
      <c r="K112" s="153"/>
      <c r="L112" s="146"/>
    </row>
    <row r="113">
      <c r="A113" s="6" t="s">
        <v>846</v>
      </c>
      <c r="B113" s="6">
        <v>90.0</v>
      </c>
      <c r="C113" s="126"/>
      <c r="D113" s="153"/>
      <c r="E113" s="146"/>
      <c r="H113" s="6" t="s">
        <v>847</v>
      </c>
      <c r="I113" s="6">
        <v>550.0</v>
      </c>
      <c r="J113" s="195"/>
      <c r="K113" s="153"/>
      <c r="L113" s="171">
        <v>1000.0</v>
      </c>
    </row>
    <row r="114">
      <c r="A114" s="6" t="s">
        <v>848</v>
      </c>
      <c r="B114" s="6">
        <v>300.0</v>
      </c>
      <c r="C114" s="126"/>
      <c r="D114" s="163"/>
      <c r="E114" s="170"/>
      <c r="H114" s="6" t="s">
        <v>849</v>
      </c>
      <c r="I114" s="6">
        <v>1000.0</v>
      </c>
      <c r="J114" s="195"/>
      <c r="K114" s="163"/>
      <c r="L114" s="169">
        <v>1000.0</v>
      </c>
    </row>
    <row r="115">
      <c r="A115" s="6" t="s">
        <v>850</v>
      </c>
      <c r="B115" s="6">
        <v>800.0</v>
      </c>
      <c r="C115" s="126"/>
      <c r="D115" s="163"/>
      <c r="E115" s="170"/>
      <c r="H115" s="6" t="s">
        <v>851</v>
      </c>
      <c r="I115" s="6">
        <v>100.0</v>
      </c>
      <c r="J115" s="206">
        <v>18.0</v>
      </c>
      <c r="K115" s="163"/>
      <c r="L115" s="170"/>
    </row>
    <row r="116">
      <c r="A116" s="6" t="s">
        <v>852</v>
      </c>
      <c r="B116" s="6">
        <v>80.0</v>
      </c>
      <c r="C116" s="126"/>
      <c r="D116" s="163"/>
      <c r="E116" s="170"/>
      <c r="H116" s="6" t="s">
        <v>853</v>
      </c>
      <c r="I116" s="6">
        <v>1370.0</v>
      </c>
      <c r="J116" s="206">
        <v>20.0</v>
      </c>
      <c r="K116" s="161">
        <v>1370.0</v>
      </c>
      <c r="L116" s="170"/>
    </row>
    <row r="117">
      <c r="A117" s="6" t="s">
        <v>854</v>
      </c>
      <c r="B117" s="46">
        <f>120+15+10</f>
        <v>145</v>
      </c>
      <c r="C117" s="126"/>
      <c r="D117" s="163"/>
      <c r="E117" s="170"/>
      <c r="H117" s="6" t="s">
        <v>855</v>
      </c>
      <c r="I117" s="6">
        <v>425.0</v>
      </c>
      <c r="J117" s="195"/>
      <c r="L117" s="170"/>
    </row>
    <row r="118">
      <c r="A118" s="6" t="s">
        <v>643</v>
      </c>
      <c r="B118" s="6">
        <v>60.0</v>
      </c>
      <c r="C118" s="126"/>
      <c r="D118" s="163"/>
      <c r="E118" s="170"/>
      <c r="H118" s="6" t="s">
        <v>856</v>
      </c>
      <c r="I118" s="46">
        <f>100+150+100+40+50</f>
        <v>440</v>
      </c>
      <c r="J118" s="195"/>
      <c r="K118" s="163"/>
      <c r="L118" s="170"/>
    </row>
    <row r="119">
      <c r="A119" s="6" t="s">
        <v>857</v>
      </c>
      <c r="B119" s="6">
        <v>700.0</v>
      </c>
      <c r="C119" s="126"/>
      <c r="D119" s="163"/>
      <c r="E119" s="170"/>
      <c r="H119" s="6" t="s">
        <v>858</v>
      </c>
      <c r="I119" s="6">
        <v>250.0</v>
      </c>
      <c r="J119" s="206"/>
      <c r="K119" s="163"/>
      <c r="L119" s="170"/>
    </row>
    <row r="120">
      <c r="A120" s="6" t="s">
        <v>859</v>
      </c>
      <c r="B120" s="6">
        <v>7000.0</v>
      </c>
      <c r="C120" s="51">
        <v>15.0</v>
      </c>
      <c r="D120" s="163"/>
      <c r="E120" s="169">
        <v>7000.0</v>
      </c>
      <c r="H120" s="6" t="s">
        <v>860</v>
      </c>
      <c r="I120" s="6">
        <v>300.0</v>
      </c>
      <c r="J120" s="206">
        <v>21.0</v>
      </c>
      <c r="K120" s="161">
        <v>500.0</v>
      </c>
      <c r="L120" s="169"/>
    </row>
    <row r="121">
      <c r="A121" s="6" t="s">
        <v>811</v>
      </c>
      <c r="B121" s="6">
        <f>660+180</f>
        <v>840</v>
      </c>
      <c r="C121" s="126"/>
      <c r="D121" s="163"/>
      <c r="E121" s="169">
        <v>2000.0</v>
      </c>
      <c r="H121" s="6" t="s">
        <v>826</v>
      </c>
      <c r="I121" s="6">
        <v>120.0</v>
      </c>
      <c r="J121" s="206">
        <v>22.0</v>
      </c>
      <c r="K121" s="161">
        <v>500.0</v>
      </c>
      <c r="L121" s="169"/>
    </row>
    <row r="122">
      <c r="A122" s="6" t="s">
        <v>611</v>
      </c>
      <c r="B122" s="6">
        <v>1500.0</v>
      </c>
      <c r="C122" s="51">
        <v>15.0</v>
      </c>
      <c r="D122" s="153"/>
      <c r="E122" s="171">
        <v>1000.0</v>
      </c>
      <c r="H122" s="6" t="s">
        <v>606</v>
      </c>
      <c r="I122" s="6">
        <v>1000.0</v>
      </c>
      <c r="J122" s="206">
        <v>22.0</v>
      </c>
      <c r="K122" s="153">
        <v>1000.0</v>
      </c>
      <c r="L122" s="171"/>
    </row>
    <row r="123">
      <c r="A123" s="6" t="s">
        <v>861</v>
      </c>
      <c r="B123" s="6">
        <v>1000.0</v>
      </c>
      <c r="C123" s="126"/>
      <c r="D123" s="163"/>
      <c r="E123" s="169">
        <v>1000.0</v>
      </c>
      <c r="J123" s="195"/>
      <c r="K123" s="163"/>
      <c r="L123" s="169"/>
    </row>
    <row r="124">
      <c r="A124" s="6" t="s">
        <v>862</v>
      </c>
      <c r="B124" s="6">
        <v>950.0</v>
      </c>
      <c r="C124" s="126"/>
      <c r="D124" s="163"/>
      <c r="E124" s="170"/>
      <c r="J124" s="195"/>
      <c r="K124" s="163"/>
      <c r="L124" s="170"/>
    </row>
    <row r="125">
      <c r="A125" s="6" t="s">
        <v>307</v>
      </c>
      <c r="B125" s="6">
        <v>60.0</v>
      </c>
      <c r="C125" s="126"/>
      <c r="D125" s="163"/>
      <c r="E125" s="170"/>
      <c r="J125" s="195"/>
      <c r="K125" s="163"/>
      <c r="L125" s="170"/>
    </row>
    <row r="126">
      <c r="A126" s="6" t="s">
        <v>177</v>
      </c>
      <c r="B126" s="6">
        <v>6300.0</v>
      </c>
      <c r="C126" s="126"/>
      <c r="D126" s="163"/>
      <c r="E126" s="171">
        <v>6300.0</v>
      </c>
      <c r="J126" s="195"/>
      <c r="K126" s="163"/>
      <c r="L126" s="171"/>
    </row>
    <row r="127">
      <c r="A127" s="6" t="s">
        <v>863</v>
      </c>
      <c r="B127" s="46">
        <f>3600+2300+620+30+30+50+120+120+50+60</f>
        <v>6980</v>
      </c>
      <c r="C127" s="51">
        <v>23.0</v>
      </c>
      <c r="D127" s="161">
        <v>6000.0</v>
      </c>
      <c r="E127" s="169">
        <v>2000.0</v>
      </c>
      <c r="J127" s="206"/>
      <c r="K127" s="161"/>
      <c r="L127" s="169"/>
    </row>
    <row r="128">
      <c r="B128" s="6">
        <v>3000.0</v>
      </c>
      <c r="C128" s="126"/>
      <c r="D128" s="163"/>
      <c r="E128" s="169">
        <v>3000.0</v>
      </c>
      <c r="J128" s="195"/>
      <c r="K128" s="163"/>
      <c r="L128" s="169"/>
    </row>
    <row r="129">
      <c r="A129" s="6" t="s">
        <v>864</v>
      </c>
      <c r="B129" s="46">
        <f>240+200+340+120+180+40+30</f>
        <v>1150</v>
      </c>
      <c r="C129" s="51">
        <v>26.0</v>
      </c>
      <c r="D129" s="161">
        <v>2000.0</v>
      </c>
      <c r="E129" s="170"/>
      <c r="J129" s="206"/>
      <c r="K129" s="161"/>
      <c r="L129" s="170"/>
    </row>
    <row r="130">
      <c r="A130" s="6" t="s">
        <v>865</v>
      </c>
      <c r="B130" s="6">
        <v>5460.0</v>
      </c>
      <c r="C130" s="51">
        <v>27.0</v>
      </c>
      <c r="D130" s="161">
        <v>5500.0</v>
      </c>
      <c r="E130" s="170"/>
      <c r="J130" s="206"/>
      <c r="K130" s="161"/>
      <c r="L130" s="170"/>
    </row>
    <row r="131">
      <c r="A131" s="6" t="s">
        <v>307</v>
      </c>
      <c r="B131" s="6">
        <v>120.0</v>
      </c>
      <c r="C131" s="126"/>
      <c r="D131" s="163"/>
      <c r="E131" s="170"/>
      <c r="J131" s="195"/>
      <c r="K131" s="163"/>
      <c r="L131" s="170"/>
    </row>
    <row r="132">
      <c r="A132" s="6" t="s">
        <v>866</v>
      </c>
      <c r="B132" s="46">
        <f>115+20</f>
        <v>135</v>
      </c>
      <c r="C132" s="51">
        <v>30.0</v>
      </c>
      <c r="D132" s="161">
        <v>500.0</v>
      </c>
      <c r="E132" s="170"/>
      <c r="J132" s="206"/>
      <c r="K132" s="161"/>
      <c r="L132" s="170"/>
    </row>
    <row r="133">
      <c r="C133" s="126"/>
      <c r="D133" s="163"/>
      <c r="E133" s="170"/>
      <c r="J133" s="195"/>
      <c r="K133" s="163"/>
      <c r="L133" s="170"/>
    </row>
    <row r="134">
      <c r="B134" s="145" t="s">
        <v>283</v>
      </c>
      <c r="C134" s="198">
        <f>SUM(B90:B134)</f>
        <v>102836.95</v>
      </c>
      <c r="D134" s="163"/>
      <c r="E134" s="207"/>
      <c r="I134" s="145" t="s">
        <v>283</v>
      </c>
      <c r="J134" s="199">
        <f>SUM(I90:I134)</f>
        <v>25210</v>
      </c>
      <c r="K134" s="163"/>
      <c r="L134" s="207"/>
    </row>
    <row r="135">
      <c r="A135" s="53" t="s">
        <v>514</v>
      </c>
      <c r="C135" s="126"/>
      <c r="D135" s="152"/>
      <c r="E135" s="146"/>
      <c r="H135" s="53" t="s">
        <v>514</v>
      </c>
      <c r="J135" s="195"/>
      <c r="K135" s="152"/>
      <c r="L135" s="146"/>
    </row>
    <row r="136">
      <c r="A136" s="184" t="s">
        <v>409</v>
      </c>
      <c r="B136" s="208">
        <v>250.0</v>
      </c>
      <c r="C136" s="209">
        <v>1.0</v>
      </c>
      <c r="D136" s="212">
        <v>1000.0</v>
      </c>
      <c r="E136" s="146"/>
      <c r="H136" s="6" t="s">
        <v>867</v>
      </c>
      <c r="I136" s="6">
        <v>7000.0</v>
      </c>
      <c r="J136" s="51">
        <v>2.0</v>
      </c>
      <c r="L136" s="146"/>
    </row>
    <row r="137">
      <c r="A137" s="184" t="s">
        <v>868</v>
      </c>
      <c r="B137" s="208">
        <v>2000.0</v>
      </c>
      <c r="C137" s="214"/>
      <c r="D137" s="153"/>
      <c r="E137" s="146"/>
      <c r="H137" s="184" t="s">
        <v>869</v>
      </c>
      <c r="I137" s="208">
        <v>200.0</v>
      </c>
      <c r="J137" s="210">
        <v>3.0</v>
      </c>
      <c r="K137" s="212">
        <v>1000.0</v>
      </c>
      <c r="L137" s="146"/>
    </row>
    <row r="138">
      <c r="A138" s="6" t="s">
        <v>870</v>
      </c>
      <c r="B138" s="6">
        <v>300.0</v>
      </c>
      <c r="C138" s="126"/>
      <c r="D138" s="153">
        <v>500.0</v>
      </c>
      <c r="E138" s="146"/>
      <c r="H138" s="6" t="s">
        <v>871</v>
      </c>
      <c r="I138" s="6">
        <v>3720.0</v>
      </c>
      <c r="J138" s="206">
        <v>4.0</v>
      </c>
      <c r="K138" s="153">
        <v>4000.0</v>
      </c>
      <c r="L138" s="146"/>
    </row>
    <row r="139">
      <c r="C139" s="126"/>
      <c r="D139" s="212">
        <v>1500.0</v>
      </c>
      <c r="E139" s="171"/>
      <c r="H139" s="6" t="s">
        <v>872</v>
      </c>
      <c r="I139" s="6">
        <v>100.0</v>
      </c>
      <c r="J139" s="206">
        <v>7.0</v>
      </c>
      <c r="K139" s="153">
        <v>1500.0</v>
      </c>
      <c r="L139" s="171"/>
    </row>
    <row r="140">
      <c r="A140" s="6" t="s">
        <v>873</v>
      </c>
      <c r="B140" s="6">
        <v>1016.0</v>
      </c>
      <c r="C140" s="51">
        <v>7.0</v>
      </c>
      <c r="D140" s="153">
        <v>1016.0</v>
      </c>
      <c r="E140" s="170"/>
      <c r="H140" s="6" t="s">
        <v>186</v>
      </c>
      <c r="I140" s="6">
        <v>90.0</v>
      </c>
      <c r="J140" s="206">
        <v>1.0</v>
      </c>
      <c r="K140" s="153"/>
      <c r="L140" s="169">
        <v>500.0</v>
      </c>
    </row>
    <row r="141">
      <c r="A141" s="6" t="s">
        <v>186</v>
      </c>
      <c r="B141" s="6">
        <v>724.7</v>
      </c>
      <c r="C141" s="221"/>
      <c r="D141" s="153"/>
      <c r="E141" s="146"/>
      <c r="H141" s="6" t="s">
        <v>186</v>
      </c>
      <c r="I141" s="6">
        <v>290.0</v>
      </c>
      <c r="J141" s="206"/>
      <c r="L141" s="146"/>
    </row>
    <row r="142">
      <c r="A142" s="6" t="s">
        <v>186</v>
      </c>
      <c r="B142" s="6">
        <v>1925.0</v>
      </c>
      <c r="C142" s="51">
        <v>11.0</v>
      </c>
      <c r="D142" s="163"/>
      <c r="E142" s="146"/>
      <c r="H142" s="6" t="s">
        <v>186</v>
      </c>
      <c r="I142" s="6">
        <v>1095.0</v>
      </c>
      <c r="J142" s="206">
        <v>13.0</v>
      </c>
      <c r="K142" s="163"/>
      <c r="L142" s="146"/>
    </row>
    <row r="143">
      <c r="A143" s="6" t="s">
        <v>874</v>
      </c>
      <c r="B143" s="6">
        <v>870.0</v>
      </c>
      <c r="C143" s="51">
        <v>13.0</v>
      </c>
      <c r="D143" s="153"/>
      <c r="E143" s="171">
        <v>1000.0</v>
      </c>
      <c r="H143" s="6" t="s">
        <v>875</v>
      </c>
      <c r="I143" s="6">
        <v>40.0</v>
      </c>
      <c r="J143" s="206"/>
      <c r="K143" s="153"/>
      <c r="L143" s="171">
        <v>500.0</v>
      </c>
    </row>
    <row r="144">
      <c r="A144" s="6" t="s">
        <v>186</v>
      </c>
      <c r="B144" s="6">
        <v>850.0</v>
      </c>
      <c r="C144" s="189"/>
      <c r="D144" s="152"/>
      <c r="E144" s="171"/>
      <c r="H144" s="6" t="s">
        <v>186</v>
      </c>
      <c r="I144" s="6">
        <v>140.0</v>
      </c>
      <c r="J144" s="190">
        <v>14.0</v>
      </c>
      <c r="K144" s="152"/>
      <c r="L144" s="171"/>
    </row>
    <row r="145">
      <c r="A145" s="6" t="s">
        <v>186</v>
      </c>
      <c r="B145" s="6">
        <v>140.0</v>
      </c>
      <c r="C145" s="51">
        <v>16.0</v>
      </c>
      <c r="D145" s="153">
        <v>1500.0</v>
      </c>
      <c r="E145" s="170"/>
      <c r="H145" s="6" t="s">
        <v>186</v>
      </c>
      <c r="I145" s="6">
        <v>190.0</v>
      </c>
      <c r="J145" s="206">
        <v>15.0</v>
      </c>
      <c r="K145" s="153"/>
      <c r="L145" s="170"/>
    </row>
    <row r="146">
      <c r="C146" s="189"/>
      <c r="D146" s="153"/>
      <c r="E146" s="171">
        <v>1000.0</v>
      </c>
      <c r="H146" s="6" t="s">
        <v>186</v>
      </c>
      <c r="I146" s="6">
        <v>240.0</v>
      </c>
      <c r="J146" s="190">
        <v>16.0</v>
      </c>
      <c r="K146" s="153"/>
      <c r="L146" s="171">
        <v>500.0</v>
      </c>
    </row>
    <row r="147">
      <c r="C147" s="126"/>
      <c r="D147" s="153"/>
      <c r="E147" s="171">
        <v>1000.0</v>
      </c>
      <c r="H147" s="6" t="s">
        <v>186</v>
      </c>
      <c r="I147" s="6">
        <v>130.0</v>
      </c>
      <c r="J147" s="195"/>
      <c r="K147" s="153"/>
      <c r="L147" s="171"/>
    </row>
    <row r="148">
      <c r="A148" s="6" t="s">
        <v>186</v>
      </c>
      <c r="B148" s="6">
        <v>3725.0</v>
      </c>
      <c r="C148" s="126"/>
      <c r="D148" s="153"/>
      <c r="E148" s="170"/>
      <c r="H148" s="6" t="s">
        <v>186</v>
      </c>
      <c r="I148" s="6">
        <v>150.0</v>
      </c>
      <c r="J148" s="195"/>
      <c r="K148" s="153"/>
      <c r="L148" s="170"/>
    </row>
    <row r="149">
      <c r="A149" s="6" t="s">
        <v>409</v>
      </c>
      <c r="B149" s="6">
        <v>250.0</v>
      </c>
      <c r="C149" s="189"/>
      <c r="D149" s="161">
        <v>250.0</v>
      </c>
      <c r="E149" s="170"/>
      <c r="H149" s="6" t="s">
        <v>186</v>
      </c>
      <c r="I149" s="6">
        <v>480.0</v>
      </c>
      <c r="J149" s="206" t="s">
        <v>876</v>
      </c>
      <c r="K149" s="161">
        <v>1500.0</v>
      </c>
      <c r="L149" s="170"/>
    </row>
    <row r="150">
      <c r="A150" s="6" t="s">
        <v>186</v>
      </c>
      <c r="B150" s="6">
        <v>1945.0</v>
      </c>
      <c r="C150" s="126"/>
      <c r="D150" s="163"/>
      <c r="E150" s="146"/>
      <c r="J150" s="195"/>
      <c r="K150" s="161">
        <v>500.0</v>
      </c>
      <c r="L150" s="146"/>
    </row>
    <row r="151">
      <c r="C151" s="126"/>
      <c r="D151" s="163"/>
      <c r="E151" s="170"/>
      <c r="J151" s="195"/>
      <c r="K151" s="163"/>
      <c r="L151" s="170"/>
    </row>
    <row r="152">
      <c r="C152" s="126"/>
      <c r="D152" s="163"/>
      <c r="E152" s="170"/>
      <c r="J152" s="195"/>
      <c r="K152" s="163"/>
      <c r="L152" s="170"/>
    </row>
    <row r="153">
      <c r="C153" s="126"/>
      <c r="D153" s="163"/>
      <c r="E153" s="170"/>
      <c r="J153" s="195"/>
      <c r="K153" s="163"/>
      <c r="L153" s="169"/>
    </row>
    <row r="154">
      <c r="C154" s="126"/>
      <c r="D154" s="163"/>
      <c r="E154" s="170"/>
      <c r="J154" s="195"/>
      <c r="K154" s="163"/>
      <c r="L154" s="170"/>
    </row>
    <row r="155">
      <c r="C155" s="126"/>
      <c r="D155" s="163"/>
      <c r="E155" s="170"/>
      <c r="J155" s="195"/>
      <c r="K155" s="163"/>
      <c r="L155" s="170"/>
    </row>
    <row r="156">
      <c r="C156" s="126"/>
      <c r="D156" s="163"/>
      <c r="E156" s="170"/>
      <c r="J156" s="195"/>
      <c r="K156" s="163"/>
      <c r="L156" s="170"/>
    </row>
    <row r="157">
      <c r="C157" s="126"/>
      <c r="D157" s="163"/>
      <c r="E157" s="170"/>
      <c r="J157" s="195"/>
      <c r="K157" s="163"/>
      <c r="L157" s="170"/>
    </row>
    <row r="158">
      <c r="C158" s="126"/>
      <c r="D158" s="152"/>
      <c r="E158" s="146"/>
      <c r="J158" s="195"/>
      <c r="K158" s="152"/>
      <c r="L158" s="146"/>
    </row>
    <row r="159">
      <c r="C159" s="126"/>
      <c r="D159" s="152"/>
      <c r="E159" s="146"/>
      <c r="J159" s="195"/>
      <c r="K159" s="152"/>
      <c r="L159" s="146"/>
    </row>
    <row r="160">
      <c r="C160" s="126"/>
      <c r="D160" s="152"/>
      <c r="E160" s="146"/>
      <c r="J160" s="195"/>
      <c r="K160" s="152"/>
      <c r="L160" s="146"/>
    </row>
    <row r="161">
      <c r="C161" s="126"/>
      <c r="D161" s="152"/>
      <c r="E161" s="146"/>
      <c r="J161" s="195"/>
      <c r="K161" s="152"/>
      <c r="L161" s="146"/>
    </row>
    <row r="162">
      <c r="C162" s="126"/>
      <c r="D162" s="152"/>
      <c r="E162" s="146"/>
      <c r="J162" s="195"/>
      <c r="K162" s="152"/>
      <c r="L162" s="146"/>
    </row>
    <row r="163">
      <c r="C163" s="126"/>
      <c r="D163" s="152"/>
      <c r="E163" s="146"/>
      <c r="J163" s="206"/>
      <c r="K163" s="152"/>
      <c r="L163" s="146"/>
    </row>
    <row r="164">
      <c r="C164" s="126"/>
      <c r="D164" s="152"/>
      <c r="E164" s="146"/>
      <c r="J164" s="195"/>
      <c r="K164" s="152"/>
      <c r="L164" s="146"/>
    </row>
    <row r="165">
      <c r="C165" s="126"/>
      <c r="D165" s="152"/>
      <c r="E165" s="146"/>
      <c r="H165" s="6" t="s">
        <v>253</v>
      </c>
      <c r="I165" s="6">
        <v>120.0</v>
      </c>
      <c r="J165" s="195"/>
      <c r="K165" s="152"/>
      <c r="L165" s="146"/>
    </row>
    <row r="166">
      <c r="C166" s="126"/>
      <c r="D166" s="163"/>
      <c r="E166" s="170"/>
      <c r="H166" s="6" t="s">
        <v>253</v>
      </c>
      <c r="I166" s="6">
        <v>500.0</v>
      </c>
      <c r="J166" s="195"/>
      <c r="K166" s="163"/>
      <c r="L166" s="170"/>
    </row>
    <row r="167">
      <c r="B167" s="182" t="s">
        <v>283</v>
      </c>
      <c r="C167" s="198">
        <f>SUM(B136:B166)</f>
        <v>13995.7</v>
      </c>
      <c r="D167" s="163"/>
      <c r="E167" s="207"/>
      <c r="I167" s="182" t="s">
        <v>283</v>
      </c>
      <c r="J167" s="199">
        <f>SUM(I136:I166)</f>
        <v>14485</v>
      </c>
      <c r="K167" s="163"/>
      <c r="L167" s="207"/>
    </row>
    <row r="168">
      <c r="A168" s="53" t="s">
        <v>515</v>
      </c>
      <c r="B168" s="44">
        <f>SUM(B38:B167)</f>
        <v>174066.62</v>
      </c>
      <c r="C168" s="222" t="s">
        <v>516</v>
      </c>
      <c r="D168" s="152">
        <f>SUM(D41:D167)</f>
        <v>108281</v>
      </c>
      <c r="E168" s="146">
        <f>sum(E41:E167)</f>
        <v>26000</v>
      </c>
      <c r="H168" s="53" t="s">
        <v>515</v>
      </c>
      <c r="I168" s="44">
        <f>SUM(I38:I167)</f>
        <v>108485.62</v>
      </c>
      <c r="J168" s="223" t="s">
        <v>516</v>
      </c>
      <c r="K168" s="152">
        <f>SUM(K41:K167)</f>
        <v>37608</v>
      </c>
      <c r="L168" s="146">
        <f>sum(L41:L167)</f>
        <v>22000</v>
      </c>
    </row>
    <row r="169">
      <c r="C169" s="191" t="s">
        <v>517</v>
      </c>
      <c r="D169" s="152">
        <f>B38</f>
        <v>25890.62</v>
      </c>
      <c r="E169" s="146"/>
      <c r="J169" s="192" t="s">
        <v>517</v>
      </c>
      <c r="K169" s="152">
        <f>I38</f>
        <v>40282.62</v>
      </c>
      <c r="L169" s="146"/>
    </row>
    <row r="170">
      <c r="C170" s="191" t="s">
        <v>518</v>
      </c>
      <c r="D170" s="152">
        <f>D168+D169</f>
        <v>134171.62</v>
      </c>
      <c r="E170" s="146"/>
      <c r="J170" s="192" t="s">
        <v>518</v>
      </c>
      <c r="K170" s="152">
        <f>K168+K169</f>
        <v>77890.62</v>
      </c>
      <c r="L170" s="146"/>
    </row>
    <row r="171">
      <c r="C171" s="191" t="s">
        <v>519</v>
      </c>
      <c r="D171" s="152">
        <f>B168-D170</f>
        <v>39895</v>
      </c>
      <c r="E171" s="146"/>
      <c r="J171" s="192" t="s">
        <v>519</v>
      </c>
      <c r="K171" s="152">
        <f>I168-K170</f>
        <v>30595</v>
      </c>
      <c r="L171" s="146"/>
    </row>
    <row r="172">
      <c r="C172" s="126"/>
      <c r="D172" s="155">
        <f>sum(D170:D171)</f>
        <v>174066.62</v>
      </c>
      <c r="E172" s="146"/>
      <c r="J172" s="195"/>
      <c r="K172" s="155">
        <f>sum(K170:K171)</f>
        <v>108485.62</v>
      </c>
      <c r="L172" s="146"/>
    </row>
    <row r="173">
      <c r="A173" s="182" t="s">
        <v>49</v>
      </c>
      <c r="B173" s="183">
        <f>B37-B168</f>
        <v>70</v>
      </c>
      <c r="C173" s="51">
        <v>70.0</v>
      </c>
      <c r="D173" s="152"/>
      <c r="E173" s="146"/>
      <c r="H173" s="182" t="s">
        <v>49</v>
      </c>
      <c r="I173" s="183">
        <f>I37-I168</f>
        <v>1475</v>
      </c>
      <c r="J173" s="206">
        <v>395.0</v>
      </c>
      <c r="K173" s="152"/>
      <c r="L173" s="146"/>
    </row>
    <row r="174">
      <c r="C174" s="126">
        <f>B173-C173</f>
        <v>0</v>
      </c>
      <c r="D174" s="152"/>
      <c r="E174" s="146"/>
      <c r="J174" s="195">
        <f>I173-J173</f>
        <v>1080</v>
      </c>
      <c r="K174" s="152"/>
      <c r="L174" s="146"/>
    </row>
    <row r="175">
      <c r="H175" s="224"/>
      <c r="I175" s="163"/>
      <c r="J175" s="170"/>
    </row>
    <row r="176">
      <c r="H176" s="224"/>
      <c r="I176" s="163"/>
      <c r="J176" s="170"/>
    </row>
    <row r="177">
      <c r="H177" s="224"/>
      <c r="I177" s="163"/>
      <c r="J177" s="170"/>
    </row>
    <row r="178">
      <c r="H178" s="224"/>
      <c r="I178" s="163"/>
      <c r="J178" s="170"/>
    </row>
    <row r="179">
      <c r="H179" s="224"/>
      <c r="I179" s="163"/>
      <c r="J179" s="170"/>
    </row>
    <row r="180">
      <c r="H180" s="224"/>
      <c r="I180" s="163"/>
      <c r="J180" s="170"/>
    </row>
    <row r="181">
      <c r="H181" s="224"/>
      <c r="I181" s="163"/>
      <c r="J181" s="170"/>
    </row>
    <row r="182">
      <c r="H182" s="224"/>
      <c r="I182" s="163"/>
      <c r="J182" s="170"/>
    </row>
    <row r="183">
      <c r="H183" s="224"/>
      <c r="I183" s="163"/>
      <c r="J183" s="170"/>
    </row>
    <row r="184">
      <c r="H184" s="224"/>
      <c r="I184" s="163"/>
      <c r="J184" s="170"/>
    </row>
    <row r="185">
      <c r="H185" s="224"/>
      <c r="I185" s="163"/>
      <c r="J185" s="170"/>
    </row>
    <row r="186">
      <c r="H186" s="224"/>
      <c r="I186" s="163"/>
      <c r="J186" s="170"/>
    </row>
    <row r="187">
      <c r="H187" s="224"/>
      <c r="I187" s="163"/>
      <c r="J187" s="170"/>
    </row>
    <row r="188">
      <c r="H188" s="224"/>
      <c r="I188" s="163"/>
      <c r="J188" s="170"/>
    </row>
    <row r="189">
      <c r="H189" s="224"/>
      <c r="I189" s="163"/>
      <c r="J189" s="170"/>
    </row>
    <row r="190">
      <c r="H190" s="224"/>
      <c r="I190" s="163"/>
      <c r="J190" s="170"/>
    </row>
    <row r="191">
      <c r="H191" s="224"/>
      <c r="I191" s="163"/>
      <c r="J191" s="170"/>
    </row>
    <row r="192">
      <c r="H192" s="224"/>
      <c r="I192" s="163"/>
      <c r="J192" s="170"/>
    </row>
    <row r="193">
      <c r="H193" s="224"/>
      <c r="I193" s="163"/>
      <c r="J193" s="170"/>
    </row>
    <row r="194">
      <c r="H194" s="224"/>
      <c r="I194" s="163"/>
      <c r="J194" s="170"/>
    </row>
    <row r="195">
      <c r="H195" s="224"/>
      <c r="I195" s="163"/>
      <c r="J195" s="170"/>
    </row>
    <row r="196">
      <c r="H196" s="224"/>
      <c r="I196" s="163"/>
      <c r="J196" s="170"/>
    </row>
    <row r="197">
      <c r="H197" s="224"/>
      <c r="I197" s="163"/>
      <c r="J197" s="170"/>
    </row>
    <row r="198">
      <c r="H198" s="224"/>
      <c r="I198" s="163"/>
      <c r="J198" s="170"/>
    </row>
    <row r="199">
      <c r="H199" s="224"/>
      <c r="I199" s="163"/>
      <c r="J199" s="170"/>
    </row>
    <row r="200">
      <c r="H200" s="224"/>
      <c r="I200" s="163"/>
      <c r="J200" s="170"/>
    </row>
    <row r="201">
      <c r="H201" s="224"/>
      <c r="I201" s="163"/>
      <c r="J201" s="170"/>
    </row>
    <row r="202">
      <c r="H202" s="224"/>
      <c r="I202" s="163"/>
      <c r="J202" s="170"/>
    </row>
    <row r="203">
      <c r="H203" s="224"/>
      <c r="I203" s="163"/>
      <c r="J203" s="170"/>
    </row>
    <row r="204">
      <c r="H204" s="224"/>
      <c r="I204" s="163"/>
      <c r="J204" s="170"/>
    </row>
    <row r="205">
      <c r="H205" s="224"/>
      <c r="I205" s="163"/>
      <c r="J205" s="170"/>
    </row>
    <row r="206">
      <c r="H206" s="224"/>
      <c r="I206" s="163"/>
      <c r="J206" s="170"/>
    </row>
    <row r="207">
      <c r="H207" s="224"/>
      <c r="I207" s="163"/>
      <c r="J207" s="170"/>
    </row>
    <row r="208">
      <c r="H208" s="224"/>
      <c r="I208" s="163"/>
      <c r="J208" s="170"/>
    </row>
    <row r="209">
      <c r="H209" s="224"/>
      <c r="I209" s="163"/>
      <c r="J209" s="170"/>
    </row>
    <row r="210">
      <c r="H210" s="224"/>
      <c r="I210" s="163"/>
      <c r="J210" s="170"/>
    </row>
    <row r="211">
      <c r="H211" s="224"/>
      <c r="I211" s="163"/>
      <c r="J211" s="170"/>
    </row>
    <row r="212">
      <c r="H212" s="224"/>
      <c r="I212" s="163"/>
      <c r="J212" s="170"/>
    </row>
    <row r="213">
      <c r="H213" s="224"/>
      <c r="I213" s="163"/>
      <c r="J213" s="170"/>
    </row>
    <row r="214">
      <c r="H214" s="224"/>
      <c r="I214" s="163"/>
      <c r="J214" s="170"/>
    </row>
    <row r="215">
      <c r="H215" s="224"/>
      <c r="I215" s="163"/>
      <c r="J215" s="170"/>
    </row>
    <row r="216">
      <c r="H216" s="224"/>
      <c r="I216" s="163"/>
      <c r="J216" s="170"/>
    </row>
    <row r="217">
      <c r="H217" s="224"/>
      <c r="I217" s="163"/>
      <c r="J217" s="170"/>
    </row>
    <row r="218">
      <c r="H218" s="224"/>
      <c r="I218" s="163"/>
      <c r="J218" s="170"/>
    </row>
    <row r="219">
      <c r="H219" s="224"/>
      <c r="I219" s="163"/>
      <c r="J219" s="170"/>
    </row>
    <row r="220">
      <c r="H220" s="224"/>
      <c r="I220" s="163"/>
      <c r="J220" s="170"/>
    </row>
    <row r="221">
      <c r="H221" s="224"/>
      <c r="I221" s="163"/>
      <c r="J221" s="170"/>
    </row>
    <row r="222">
      <c r="H222" s="224"/>
      <c r="I222" s="163"/>
      <c r="J222" s="170"/>
    </row>
    <row r="223">
      <c r="H223" s="224"/>
      <c r="I223" s="163"/>
      <c r="J223" s="170"/>
    </row>
    <row r="224">
      <c r="H224" s="224"/>
      <c r="I224" s="163"/>
      <c r="J224" s="170"/>
    </row>
    <row r="225">
      <c r="H225" s="224"/>
      <c r="I225" s="163"/>
      <c r="J225" s="170"/>
    </row>
    <row r="226">
      <c r="H226" s="224"/>
      <c r="I226" s="163"/>
      <c r="J226" s="170"/>
    </row>
    <row r="227">
      <c r="H227" s="224"/>
      <c r="I227" s="163"/>
      <c r="J227" s="170"/>
    </row>
    <row r="228">
      <c r="H228" s="224"/>
      <c r="I228" s="163"/>
      <c r="J228" s="170"/>
    </row>
    <row r="229">
      <c r="H229" s="224"/>
      <c r="I229" s="163"/>
      <c r="J229" s="170"/>
    </row>
    <row r="230">
      <c r="H230" s="224"/>
      <c r="I230" s="163"/>
      <c r="J230" s="170"/>
    </row>
    <row r="231">
      <c r="H231" s="224"/>
      <c r="I231" s="163"/>
      <c r="J231" s="170"/>
    </row>
    <row r="232">
      <c r="H232" s="224"/>
      <c r="I232" s="163"/>
      <c r="J232" s="170"/>
    </row>
    <row r="233">
      <c r="H233" s="224"/>
      <c r="I233" s="163"/>
      <c r="J233" s="170"/>
    </row>
    <row r="234">
      <c r="H234" s="224"/>
      <c r="I234" s="163"/>
      <c r="J234" s="170"/>
    </row>
    <row r="235">
      <c r="H235" s="224"/>
      <c r="I235" s="163"/>
      <c r="J235" s="170"/>
    </row>
    <row r="236">
      <c r="H236" s="224"/>
      <c r="I236" s="163"/>
      <c r="J236" s="170"/>
    </row>
    <row r="237">
      <c r="H237" s="224"/>
      <c r="I237" s="163"/>
      <c r="J237" s="170"/>
    </row>
    <row r="238">
      <c r="H238" s="224"/>
      <c r="I238" s="163"/>
      <c r="J238" s="170"/>
    </row>
    <row r="239">
      <c r="H239" s="224"/>
      <c r="I239" s="163"/>
      <c r="J239" s="170"/>
    </row>
    <row r="240">
      <c r="H240" s="224"/>
      <c r="I240" s="163"/>
      <c r="J240" s="170"/>
    </row>
    <row r="241">
      <c r="H241" s="224"/>
      <c r="I241" s="163"/>
      <c r="J241" s="170"/>
    </row>
    <row r="242">
      <c r="H242" s="224"/>
      <c r="I242" s="163"/>
      <c r="J242" s="170"/>
    </row>
    <row r="243">
      <c r="H243" s="224"/>
      <c r="I243" s="163"/>
      <c r="J243" s="170"/>
    </row>
    <row r="244">
      <c r="H244" s="224"/>
      <c r="I244" s="163"/>
      <c r="J244" s="170"/>
    </row>
    <row r="245">
      <c r="H245" s="224"/>
      <c r="I245" s="163"/>
      <c r="J245" s="170"/>
    </row>
    <row r="246">
      <c r="H246" s="224"/>
      <c r="I246" s="163"/>
      <c r="J246" s="170"/>
    </row>
    <row r="247">
      <c r="H247" s="224"/>
      <c r="I247" s="163"/>
      <c r="J247" s="170"/>
    </row>
    <row r="248">
      <c r="H248" s="224"/>
      <c r="I248" s="163"/>
      <c r="J248" s="170"/>
    </row>
    <row r="249">
      <c r="H249" s="224"/>
      <c r="I249" s="163"/>
      <c r="J249" s="170"/>
    </row>
    <row r="250">
      <c r="H250" s="224"/>
      <c r="I250" s="163"/>
      <c r="J250" s="170"/>
    </row>
    <row r="251">
      <c r="H251" s="224"/>
      <c r="I251" s="163"/>
      <c r="J251" s="170"/>
    </row>
    <row r="252">
      <c r="H252" s="224"/>
      <c r="I252" s="163"/>
      <c r="J252" s="170"/>
    </row>
    <row r="253">
      <c r="H253" s="224"/>
      <c r="I253" s="163"/>
      <c r="J253" s="170"/>
    </row>
    <row r="254">
      <c r="H254" s="224"/>
      <c r="I254" s="163"/>
      <c r="J254" s="170"/>
    </row>
    <row r="255">
      <c r="H255" s="224"/>
      <c r="I255" s="163"/>
      <c r="J255" s="170"/>
    </row>
    <row r="256">
      <c r="H256" s="224"/>
      <c r="I256" s="163"/>
      <c r="J256" s="170"/>
    </row>
    <row r="257">
      <c r="H257" s="224"/>
      <c r="I257" s="163"/>
      <c r="J257" s="170"/>
    </row>
    <row r="258">
      <c r="H258" s="224"/>
      <c r="I258" s="163"/>
      <c r="J258" s="170"/>
    </row>
    <row r="259">
      <c r="H259" s="224"/>
      <c r="I259" s="163"/>
      <c r="J259" s="170"/>
    </row>
    <row r="260">
      <c r="H260" s="224"/>
      <c r="I260" s="163"/>
      <c r="J260" s="170"/>
    </row>
    <row r="261">
      <c r="H261" s="224"/>
      <c r="I261" s="163"/>
      <c r="J261" s="170"/>
    </row>
    <row r="262">
      <c r="H262" s="224"/>
      <c r="I262" s="163"/>
      <c r="J262" s="170"/>
    </row>
    <row r="263">
      <c r="H263" s="224"/>
      <c r="I263" s="163"/>
      <c r="J263" s="170"/>
    </row>
    <row r="264">
      <c r="H264" s="224"/>
      <c r="I264" s="163"/>
      <c r="J264" s="170"/>
    </row>
    <row r="265">
      <c r="H265" s="224"/>
      <c r="I265" s="163"/>
      <c r="J265" s="170"/>
    </row>
    <row r="266">
      <c r="H266" s="224"/>
      <c r="I266" s="163"/>
      <c r="J266" s="170"/>
    </row>
    <row r="267">
      <c r="H267" s="224"/>
      <c r="I267" s="163"/>
      <c r="J267" s="170"/>
    </row>
    <row r="268">
      <c r="H268" s="224"/>
      <c r="I268" s="163"/>
      <c r="J268" s="170"/>
    </row>
    <row r="269">
      <c r="H269" s="224"/>
      <c r="I269" s="163"/>
      <c r="J269" s="170"/>
    </row>
    <row r="270">
      <c r="H270" s="224"/>
      <c r="I270" s="163"/>
      <c r="J270" s="170"/>
    </row>
    <row r="271">
      <c r="H271" s="224"/>
      <c r="I271" s="163"/>
      <c r="J271" s="170"/>
    </row>
    <row r="272">
      <c r="H272" s="224"/>
      <c r="I272" s="163"/>
      <c r="J272" s="170"/>
    </row>
    <row r="273">
      <c r="H273" s="224"/>
      <c r="I273" s="163"/>
      <c r="J273" s="170"/>
    </row>
    <row r="274">
      <c r="H274" s="224"/>
      <c r="I274" s="163"/>
      <c r="J274" s="170"/>
    </row>
    <row r="275">
      <c r="H275" s="224"/>
      <c r="I275" s="163"/>
      <c r="J275" s="170"/>
    </row>
    <row r="276">
      <c r="H276" s="224"/>
      <c r="I276" s="163"/>
      <c r="J276" s="170"/>
    </row>
    <row r="277">
      <c r="H277" s="224"/>
      <c r="I277" s="163"/>
      <c r="J277" s="170"/>
    </row>
    <row r="278">
      <c r="H278" s="224"/>
      <c r="I278" s="163"/>
      <c r="J278" s="170"/>
    </row>
    <row r="279">
      <c r="H279" s="224"/>
      <c r="I279" s="163"/>
      <c r="J279" s="170"/>
    </row>
    <row r="280">
      <c r="H280" s="224"/>
      <c r="I280" s="163"/>
      <c r="J280" s="170"/>
    </row>
    <row r="281">
      <c r="H281" s="224"/>
      <c r="I281" s="163"/>
      <c r="J281" s="170"/>
    </row>
    <row r="282">
      <c r="H282" s="224"/>
      <c r="I282" s="163"/>
      <c r="J282" s="170"/>
    </row>
    <row r="283">
      <c r="H283" s="224"/>
      <c r="I283" s="163"/>
      <c r="J283" s="170"/>
    </row>
    <row r="284">
      <c r="H284" s="224"/>
      <c r="I284" s="163"/>
      <c r="J284" s="170"/>
    </row>
    <row r="285">
      <c r="H285" s="224"/>
      <c r="I285" s="163"/>
      <c r="J285" s="170"/>
    </row>
    <row r="286">
      <c r="H286" s="224"/>
      <c r="I286" s="163"/>
      <c r="J286" s="170"/>
    </row>
    <row r="287">
      <c r="H287" s="224"/>
      <c r="I287" s="163"/>
      <c r="J287" s="170"/>
    </row>
    <row r="288">
      <c r="H288" s="224"/>
      <c r="I288" s="163"/>
      <c r="J288" s="170"/>
    </row>
    <row r="289">
      <c r="H289" s="224"/>
      <c r="I289" s="163"/>
      <c r="J289" s="170"/>
    </row>
    <row r="290">
      <c r="H290" s="224"/>
      <c r="I290" s="163"/>
      <c r="J290" s="170"/>
    </row>
    <row r="291">
      <c r="H291" s="224"/>
      <c r="I291" s="163"/>
      <c r="J291" s="170"/>
    </row>
    <row r="292">
      <c r="H292" s="224"/>
      <c r="I292" s="163"/>
      <c r="J292" s="170"/>
    </row>
    <row r="293">
      <c r="H293" s="224"/>
      <c r="I293" s="163"/>
      <c r="J293" s="170"/>
    </row>
    <row r="294">
      <c r="H294" s="224"/>
      <c r="I294" s="163"/>
      <c r="J294" s="170"/>
    </row>
    <row r="295">
      <c r="H295" s="224"/>
      <c r="I295" s="163"/>
      <c r="J295" s="170"/>
    </row>
    <row r="296">
      <c r="H296" s="224"/>
      <c r="I296" s="163"/>
      <c r="J296" s="170"/>
    </row>
    <row r="297">
      <c r="H297" s="224"/>
      <c r="I297" s="163"/>
      <c r="J297" s="170"/>
    </row>
    <row r="298">
      <c r="H298" s="224"/>
      <c r="I298" s="163"/>
      <c r="J298" s="170"/>
    </row>
    <row r="299">
      <c r="H299" s="224"/>
      <c r="I299" s="163"/>
      <c r="J299" s="170"/>
    </row>
    <row r="300">
      <c r="H300" s="224"/>
      <c r="I300" s="163"/>
      <c r="J300" s="170"/>
    </row>
    <row r="301">
      <c r="H301" s="224"/>
      <c r="I301" s="163"/>
      <c r="J301" s="170"/>
    </row>
    <row r="302">
      <c r="H302" s="224"/>
      <c r="I302" s="163"/>
      <c r="J302" s="170"/>
    </row>
    <row r="303">
      <c r="H303" s="224"/>
      <c r="I303" s="163"/>
      <c r="J303" s="170"/>
    </row>
    <row r="304">
      <c r="H304" s="224"/>
      <c r="I304" s="163"/>
      <c r="J304" s="170"/>
    </row>
    <row r="305">
      <c r="H305" s="224"/>
      <c r="I305" s="163"/>
      <c r="J305" s="170"/>
    </row>
    <row r="306">
      <c r="H306" s="224"/>
      <c r="I306" s="163"/>
      <c r="J306" s="170"/>
    </row>
    <row r="307">
      <c r="H307" s="224"/>
      <c r="I307" s="163"/>
      <c r="J307" s="170"/>
    </row>
    <row r="308">
      <c r="H308" s="224"/>
      <c r="I308" s="163"/>
      <c r="J308" s="170"/>
    </row>
    <row r="309">
      <c r="H309" s="224"/>
      <c r="I309" s="163"/>
      <c r="J309" s="170"/>
    </row>
    <row r="310">
      <c r="H310" s="224"/>
      <c r="I310" s="163"/>
      <c r="J310" s="170"/>
    </row>
    <row r="311">
      <c r="H311" s="224"/>
      <c r="I311" s="163"/>
      <c r="J311" s="170"/>
    </row>
    <row r="312">
      <c r="H312" s="224"/>
      <c r="I312" s="163"/>
      <c r="J312" s="170"/>
    </row>
    <row r="313">
      <c r="H313" s="224"/>
      <c r="I313" s="163"/>
      <c r="J313" s="170"/>
    </row>
    <row r="314">
      <c r="H314" s="224"/>
      <c r="I314" s="163"/>
      <c r="J314" s="170"/>
    </row>
    <row r="315">
      <c r="H315" s="224"/>
      <c r="I315" s="163"/>
      <c r="J315" s="170"/>
    </row>
    <row r="316">
      <c r="H316" s="224"/>
      <c r="I316" s="163"/>
      <c r="J316" s="170"/>
    </row>
    <row r="317">
      <c r="H317" s="224"/>
      <c r="I317" s="163"/>
      <c r="J317" s="170"/>
    </row>
    <row r="318">
      <c r="H318" s="224"/>
      <c r="I318" s="163"/>
      <c r="J318" s="170"/>
    </row>
    <row r="319">
      <c r="H319" s="224"/>
      <c r="I319" s="163"/>
      <c r="J319" s="170"/>
    </row>
    <row r="320">
      <c r="H320" s="224"/>
      <c r="I320" s="163"/>
      <c r="J320" s="170"/>
    </row>
    <row r="321">
      <c r="H321" s="224"/>
      <c r="I321" s="163"/>
      <c r="J321" s="170"/>
    </row>
    <row r="322">
      <c r="H322" s="224"/>
      <c r="I322" s="163"/>
      <c r="J322" s="170"/>
    </row>
    <row r="323">
      <c r="H323" s="224"/>
      <c r="I323" s="163"/>
      <c r="J323" s="170"/>
    </row>
    <row r="324">
      <c r="H324" s="224"/>
      <c r="I324" s="163"/>
      <c r="J324" s="170"/>
    </row>
    <row r="325">
      <c r="H325" s="224"/>
      <c r="I325" s="163"/>
      <c r="J325" s="170"/>
    </row>
    <row r="326">
      <c r="H326" s="224"/>
      <c r="I326" s="163"/>
      <c r="J326" s="170"/>
    </row>
    <row r="327">
      <c r="H327" s="224"/>
      <c r="I327" s="163"/>
      <c r="J327" s="170"/>
    </row>
    <row r="328">
      <c r="H328" s="224"/>
      <c r="I328" s="163"/>
      <c r="J328" s="170"/>
    </row>
    <row r="329">
      <c r="H329" s="224"/>
      <c r="I329" s="163"/>
      <c r="J329" s="170"/>
    </row>
    <row r="330">
      <c r="H330" s="224"/>
      <c r="I330" s="163"/>
      <c r="J330" s="170"/>
    </row>
    <row r="331">
      <c r="H331" s="224"/>
      <c r="I331" s="163"/>
      <c r="J331" s="170"/>
    </row>
    <row r="332">
      <c r="H332" s="224"/>
      <c r="I332" s="163"/>
      <c r="J332" s="170"/>
    </row>
    <row r="333">
      <c r="H333" s="224"/>
      <c r="I333" s="163"/>
      <c r="J333" s="170"/>
    </row>
    <row r="334">
      <c r="H334" s="224"/>
      <c r="I334" s="163"/>
      <c r="J334" s="170"/>
    </row>
    <row r="335">
      <c r="H335" s="224"/>
      <c r="I335" s="163"/>
      <c r="J335" s="170"/>
    </row>
    <row r="336">
      <c r="H336" s="224"/>
      <c r="I336" s="163"/>
      <c r="J336" s="170"/>
    </row>
    <row r="337">
      <c r="H337" s="224"/>
      <c r="I337" s="163"/>
      <c r="J337" s="170"/>
    </row>
    <row r="338">
      <c r="H338" s="224"/>
      <c r="I338" s="163"/>
      <c r="J338" s="170"/>
    </row>
    <row r="339">
      <c r="H339" s="224"/>
      <c r="I339" s="163"/>
      <c r="J339" s="170"/>
    </row>
    <row r="340">
      <c r="H340" s="224"/>
      <c r="I340" s="163"/>
      <c r="J340" s="170"/>
    </row>
    <row r="341">
      <c r="H341" s="224"/>
      <c r="I341" s="163"/>
      <c r="J341" s="170"/>
    </row>
    <row r="342">
      <c r="H342" s="224"/>
      <c r="I342" s="163"/>
      <c r="J342" s="170"/>
    </row>
    <row r="343">
      <c r="H343" s="224"/>
      <c r="I343" s="163"/>
      <c r="J343" s="170"/>
    </row>
    <row r="344">
      <c r="H344" s="224"/>
      <c r="I344" s="163"/>
      <c r="J344" s="170"/>
    </row>
    <row r="345">
      <c r="H345" s="224"/>
      <c r="I345" s="163"/>
      <c r="J345" s="170"/>
    </row>
    <row r="346">
      <c r="H346" s="224"/>
      <c r="I346" s="163"/>
      <c r="J346" s="170"/>
    </row>
    <row r="347">
      <c r="H347" s="224"/>
      <c r="I347" s="163"/>
      <c r="J347" s="170"/>
    </row>
    <row r="348">
      <c r="H348" s="224"/>
      <c r="I348" s="163"/>
      <c r="J348" s="170"/>
    </row>
    <row r="349">
      <c r="H349" s="224"/>
      <c r="I349" s="163"/>
      <c r="J349" s="170"/>
    </row>
    <row r="350">
      <c r="H350" s="224"/>
      <c r="I350" s="163"/>
      <c r="J350" s="170"/>
    </row>
    <row r="351">
      <c r="H351" s="224"/>
      <c r="I351" s="163"/>
      <c r="J351" s="170"/>
    </row>
    <row r="352">
      <c r="H352" s="224"/>
      <c r="I352" s="163"/>
      <c r="J352" s="170"/>
    </row>
    <row r="353">
      <c r="H353" s="224"/>
      <c r="I353" s="163"/>
      <c r="J353" s="170"/>
    </row>
    <row r="354">
      <c r="H354" s="224"/>
      <c r="I354" s="163"/>
      <c r="J354" s="170"/>
    </row>
    <row r="355">
      <c r="H355" s="224"/>
      <c r="I355" s="163"/>
      <c r="J355" s="170"/>
    </row>
    <row r="356">
      <c r="H356" s="224"/>
      <c r="I356" s="163"/>
      <c r="J356" s="170"/>
    </row>
    <row r="357">
      <c r="H357" s="224"/>
      <c r="I357" s="163"/>
      <c r="J357" s="170"/>
    </row>
    <row r="358">
      <c r="H358" s="224"/>
      <c r="I358" s="163"/>
      <c r="J358" s="170"/>
    </row>
    <row r="359">
      <c r="H359" s="224"/>
      <c r="I359" s="163"/>
      <c r="J359" s="170"/>
    </row>
    <row r="360">
      <c r="H360" s="224"/>
      <c r="I360" s="163"/>
      <c r="J360" s="170"/>
    </row>
    <row r="361">
      <c r="H361" s="224"/>
      <c r="I361" s="163"/>
      <c r="J361" s="170"/>
    </row>
    <row r="362">
      <c r="H362" s="224"/>
      <c r="I362" s="163"/>
      <c r="J362" s="170"/>
    </row>
    <row r="363">
      <c r="H363" s="224"/>
      <c r="I363" s="163"/>
      <c r="J363" s="170"/>
    </row>
    <row r="364">
      <c r="H364" s="224"/>
      <c r="I364" s="163"/>
      <c r="J364" s="170"/>
    </row>
    <row r="365">
      <c r="H365" s="224"/>
      <c r="I365" s="163"/>
      <c r="J365" s="170"/>
    </row>
    <row r="366">
      <c r="H366" s="224"/>
      <c r="I366" s="163"/>
      <c r="J366" s="170"/>
    </row>
    <row r="367">
      <c r="H367" s="224"/>
      <c r="I367" s="163"/>
      <c r="J367" s="170"/>
    </row>
    <row r="368">
      <c r="H368" s="224"/>
      <c r="I368" s="163"/>
      <c r="J368" s="170"/>
    </row>
    <row r="369">
      <c r="H369" s="224"/>
      <c r="I369" s="163"/>
      <c r="J369" s="170"/>
    </row>
    <row r="370">
      <c r="H370" s="224"/>
      <c r="I370" s="163"/>
      <c r="J370" s="170"/>
    </row>
    <row r="371">
      <c r="H371" s="224"/>
      <c r="I371" s="163"/>
      <c r="J371" s="170"/>
    </row>
    <row r="372">
      <c r="H372" s="224"/>
      <c r="I372" s="163"/>
      <c r="J372" s="170"/>
    </row>
    <row r="373">
      <c r="H373" s="224"/>
      <c r="I373" s="163"/>
      <c r="J373" s="170"/>
    </row>
    <row r="374">
      <c r="H374" s="224"/>
      <c r="I374" s="163"/>
      <c r="J374" s="170"/>
    </row>
    <row r="375">
      <c r="H375" s="224"/>
      <c r="I375" s="163"/>
      <c r="J375" s="170"/>
    </row>
    <row r="376">
      <c r="H376" s="224"/>
      <c r="I376" s="163"/>
      <c r="J376" s="170"/>
    </row>
    <row r="377">
      <c r="H377" s="224"/>
      <c r="I377" s="163"/>
      <c r="J377" s="170"/>
    </row>
    <row r="378">
      <c r="H378" s="224"/>
      <c r="I378" s="163"/>
      <c r="J378" s="170"/>
    </row>
    <row r="379">
      <c r="H379" s="224"/>
      <c r="I379" s="163"/>
      <c r="J379" s="170"/>
    </row>
    <row r="380">
      <c r="H380" s="224"/>
      <c r="I380" s="163"/>
      <c r="J380" s="170"/>
    </row>
    <row r="381">
      <c r="H381" s="224"/>
      <c r="I381" s="163"/>
      <c r="J381" s="170"/>
    </row>
    <row r="382">
      <c r="H382" s="224"/>
      <c r="I382" s="163"/>
      <c r="J382" s="170"/>
    </row>
    <row r="383">
      <c r="H383" s="224"/>
      <c r="I383" s="163"/>
      <c r="J383" s="170"/>
    </row>
    <row r="384">
      <c r="H384" s="224"/>
      <c r="I384" s="163"/>
      <c r="J384" s="170"/>
    </row>
    <row r="385">
      <c r="H385" s="224"/>
      <c r="I385" s="163"/>
      <c r="J385" s="170"/>
    </row>
    <row r="386">
      <c r="H386" s="224"/>
      <c r="I386" s="163"/>
      <c r="J386" s="170"/>
    </row>
    <row r="387">
      <c r="H387" s="224"/>
      <c r="I387" s="163"/>
      <c r="J387" s="170"/>
    </row>
    <row r="388">
      <c r="H388" s="224"/>
      <c r="I388" s="163"/>
      <c r="J388" s="170"/>
    </row>
    <row r="389">
      <c r="H389" s="224"/>
      <c r="I389" s="163"/>
      <c r="J389" s="170"/>
    </row>
    <row r="390">
      <c r="H390" s="224"/>
      <c r="I390" s="163"/>
      <c r="J390" s="170"/>
    </row>
    <row r="391">
      <c r="H391" s="224"/>
      <c r="I391" s="163"/>
      <c r="J391" s="170"/>
    </row>
    <row r="392">
      <c r="H392" s="224"/>
      <c r="I392" s="163"/>
      <c r="J392" s="170"/>
    </row>
    <row r="393">
      <c r="H393" s="224"/>
      <c r="I393" s="163"/>
      <c r="J393" s="170"/>
    </row>
    <row r="394">
      <c r="H394" s="224"/>
      <c r="I394" s="163"/>
      <c r="J394" s="170"/>
    </row>
    <row r="395">
      <c r="H395" s="224"/>
      <c r="I395" s="163"/>
      <c r="J395" s="170"/>
    </row>
    <row r="396">
      <c r="H396" s="224"/>
      <c r="I396" s="163"/>
      <c r="J396" s="170"/>
    </row>
    <row r="397">
      <c r="H397" s="224"/>
      <c r="I397" s="163"/>
      <c r="J397" s="170"/>
    </row>
    <row r="398">
      <c r="H398" s="224"/>
      <c r="I398" s="163"/>
      <c r="J398" s="170"/>
    </row>
    <row r="399">
      <c r="H399" s="224"/>
      <c r="I399" s="163"/>
      <c r="J399" s="170"/>
    </row>
    <row r="400">
      <c r="H400" s="224"/>
      <c r="I400" s="163"/>
      <c r="J400" s="170"/>
    </row>
    <row r="401">
      <c r="H401" s="224"/>
      <c r="I401" s="163"/>
      <c r="J401" s="170"/>
    </row>
    <row r="402">
      <c r="H402" s="224"/>
      <c r="I402" s="163"/>
      <c r="J402" s="170"/>
    </row>
    <row r="403">
      <c r="H403" s="224"/>
      <c r="I403" s="163"/>
      <c r="J403" s="170"/>
    </row>
    <row r="404">
      <c r="H404" s="224"/>
      <c r="I404" s="163"/>
      <c r="J404" s="170"/>
    </row>
    <row r="405">
      <c r="H405" s="224"/>
      <c r="I405" s="163"/>
      <c r="J405" s="170"/>
    </row>
    <row r="406">
      <c r="H406" s="224"/>
      <c r="I406" s="163"/>
      <c r="J406" s="170"/>
    </row>
    <row r="407">
      <c r="H407" s="224"/>
      <c r="I407" s="163"/>
      <c r="J407" s="170"/>
    </row>
    <row r="408">
      <c r="H408" s="224"/>
      <c r="I408" s="163"/>
      <c r="J408" s="170"/>
    </row>
    <row r="409">
      <c r="H409" s="224"/>
      <c r="I409" s="163"/>
      <c r="J409" s="170"/>
    </row>
    <row r="410">
      <c r="H410" s="224"/>
      <c r="I410" s="163"/>
      <c r="J410" s="170"/>
    </row>
    <row r="411">
      <c r="H411" s="224"/>
      <c r="I411" s="163"/>
      <c r="J411" s="170"/>
    </row>
    <row r="412">
      <c r="H412" s="224"/>
      <c r="I412" s="163"/>
      <c r="J412" s="170"/>
    </row>
    <row r="413">
      <c r="H413" s="224"/>
      <c r="I413" s="163"/>
      <c r="J413" s="170"/>
    </row>
    <row r="414">
      <c r="H414" s="224"/>
      <c r="I414" s="163"/>
      <c r="J414" s="170"/>
    </row>
    <row r="415">
      <c r="H415" s="224"/>
      <c r="I415" s="163"/>
      <c r="J415" s="170"/>
    </row>
    <row r="416">
      <c r="H416" s="224"/>
      <c r="I416" s="163"/>
      <c r="J416" s="170"/>
    </row>
    <row r="417">
      <c r="H417" s="224"/>
      <c r="I417" s="163"/>
      <c r="J417" s="170"/>
    </row>
    <row r="418">
      <c r="H418" s="224"/>
      <c r="I418" s="163"/>
      <c r="J418" s="170"/>
    </row>
    <row r="419">
      <c r="H419" s="224"/>
      <c r="I419" s="163"/>
      <c r="J419" s="170"/>
    </row>
    <row r="420">
      <c r="H420" s="224"/>
      <c r="I420" s="163"/>
      <c r="J420" s="170"/>
    </row>
    <row r="421">
      <c r="H421" s="224"/>
      <c r="I421" s="163"/>
      <c r="J421" s="170"/>
    </row>
    <row r="422">
      <c r="H422" s="224"/>
      <c r="I422" s="163"/>
      <c r="J422" s="170"/>
    </row>
    <row r="423">
      <c r="H423" s="224"/>
      <c r="I423" s="163"/>
      <c r="J423" s="170"/>
    </row>
    <row r="424">
      <c r="H424" s="224"/>
      <c r="I424" s="163"/>
      <c r="J424" s="170"/>
    </row>
    <row r="425">
      <c r="H425" s="224"/>
      <c r="I425" s="163"/>
      <c r="J425" s="170"/>
    </row>
    <row r="426">
      <c r="H426" s="224"/>
      <c r="I426" s="163"/>
      <c r="J426" s="170"/>
    </row>
    <row r="427">
      <c r="H427" s="224"/>
      <c r="I427" s="163"/>
      <c r="J427" s="170"/>
    </row>
    <row r="428">
      <c r="H428" s="224"/>
      <c r="I428" s="163"/>
      <c r="J428" s="170"/>
    </row>
    <row r="429">
      <c r="H429" s="224"/>
      <c r="I429" s="163"/>
      <c r="J429" s="170"/>
    </row>
    <row r="430">
      <c r="H430" s="224"/>
      <c r="I430" s="163"/>
      <c r="J430" s="170"/>
    </row>
    <row r="431">
      <c r="H431" s="224"/>
      <c r="I431" s="163"/>
      <c r="J431" s="170"/>
    </row>
    <row r="432">
      <c r="H432" s="224"/>
      <c r="I432" s="163"/>
      <c r="J432" s="170"/>
    </row>
    <row r="433">
      <c r="H433" s="224"/>
      <c r="I433" s="163"/>
      <c r="J433" s="170"/>
    </row>
    <row r="434">
      <c r="H434" s="224"/>
      <c r="I434" s="163"/>
      <c r="J434" s="170"/>
    </row>
    <row r="435">
      <c r="H435" s="224"/>
      <c r="I435" s="163"/>
      <c r="J435" s="170"/>
    </row>
    <row r="436">
      <c r="H436" s="224"/>
      <c r="I436" s="163"/>
      <c r="J436" s="170"/>
    </row>
    <row r="437">
      <c r="H437" s="224"/>
      <c r="I437" s="163"/>
      <c r="J437" s="170"/>
    </row>
    <row r="438">
      <c r="H438" s="224"/>
      <c r="I438" s="163"/>
      <c r="J438" s="170"/>
    </row>
    <row r="439">
      <c r="H439" s="224"/>
      <c r="I439" s="163"/>
      <c r="J439" s="170"/>
    </row>
    <row r="440">
      <c r="H440" s="224"/>
      <c r="I440" s="163"/>
      <c r="J440" s="170"/>
    </row>
    <row r="441">
      <c r="H441" s="224"/>
      <c r="I441" s="163"/>
      <c r="J441" s="170"/>
    </row>
    <row r="442">
      <c r="H442" s="224"/>
      <c r="I442" s="163"/>
      <c r="J442" s="170"/>
    </row>
    <row r="443">
      <c r="H443" s="224"/>
      <c r="I443" s="163"/>
      <c r="J443" s="170"/>
    </row>
    <row r="444">
      <c r="H444" s="224"/>
      <c r="I444" s="163"/>
      <c r="J444" s="170"/>
    </row>
    <row r="445">
      <c r="H445" s="224"/>
      <c r="I445" s="163"/>
      <c r="J445" s="170"/>
    </row>
    <row r="446">
      <c r="H446" s="224"/>
      <c r="I446" s="163"/>
      <c r="J446" s="170"/>
    </row>
    <row r="447">
      <c r="H447" s="224"/>
      <c r="I447" s="163"/>
      <c r="J447" s="170"/>
    </row>
    <row r="448">
      <c r="H448" s="224"/>
      <c r="I448" s="163"/>
      <c r="J448" s="170"/>
    </row>
    <row r="449">
      <c r="H449" s="224"/>
      <c r="I449" s="163"/>
      <c r="J449" s="170"/>
    </row>
    <row r="450">
      <c r="H450" s="224"/>
      <c r="I450" s="163"/>
      <c r="J450" s="170"/>
    </row>
    <row r="451">
      <c r="H451" s="224"/>
      <c r="I451" s="163"/>
      <c r="J451" s="170"/>
    </row>
    <row r="452">
      <c r="H452" s="224"/>
      <c r="I452" s="163"/>
      <c r="J452" s="170"/>
    </row>
    <row r="453">
      <c r="H453" s="224"/>
      <c r="I453" s="163"/>
      <c r="J453" s="170"/>
    </row>
    <row r="454">
      <c r="H454" s="224"/>
      <c r="I454" s="163"/>
      <c r="J454" s="170"/>
    </row>
    <row r="455">
      <c r="H455" s="224"/>
      <c r="I455" s="163"/>
      <c r="J455" s="170"/>
    </row>
    <row r="456">
      <c r="H456" s="224"/>
      <c r="I456" s="163"/>
      <c r="J456" s="170"/>
    </row>
    <row r="457">
      <c r="H457" s="224"/>
      <c r="I457" s="163"/>
      <c r="J457" s="170"/>
    </row>
    <row r="458">
      <c r="H458" s="224"/>
      <c r="I458" s="163"/>
      <c r="J458" s="170"/>
    </row>
    <row r="459">
      <c r="H459" s="224"/>
      <c r="I459" s="163"/>
      <c r="J459" s="170"/>
    </row>
    <row r="460">
      <c r="H460" s="224"/>
      <c r="I460" s="163"/>
      <c r="J460" s="170"/>
    </row>
    <row r="461">
      <c r="H461" s="224"/>
      <c r="I461" s="163"/>
      <c r="J461" s="170"/>
    </row>
    <row r="462">
      <c r="H462" s="224"/>
      <c r="I462" s="163"/>
      <c r="J462" s="170"/>
    </row>
    <row r="463">
      <c r="H463" s="224"/>
      <c r="I463" s="163"/>
      <c r="J463" s="170"/>
    </row>
    <row r="464">
      <c r="H464" s="224"/>
      <c r="I464" s="163"/>
      <c r="J464" s="170"/>
    </row>
    <row r="465">
      <c r="H465" s="224"/>
      <c r="I465" s="163"/>
      <c r="J465" s="170"/>
    </row>
    <row r="466">
      <c r="H466" s="224"/>
      <c r="I466" s="163"/>
      <c r="J466" s="170"/>
    </row>
    <row r="467">
      <c r="H467" s="224"/>
      <c r="I467" s="163"/>
      <c r="J467" s="170"/>
    </row>
    <row r="468">
      <c r="H468" s="224"/>
      <c r="I468" s="163"/>
      <c r="J468" s="170"/>
    </row>
    <row r="469">
      <c r="H469" s="224"/>
      <c r="I469" s="163"/>
      <c r="J469" s="170"/>
    </row>
    <row r="470">
      <c r="H470" s="224"/>
      <c r="I470" s="163"/>
      <c r="J470" s="170"/>
    </row>
    <row r="471">
      <c r="H471" s="224"/>
      <c r="I471" s="163"/>
      <c r="J471" s="170"/>
    </row>
    <row r="472">
      <c r="H472" s="224"/>
      <c r="I472" s="163"/>
      <c r="J472" s="170"/>
    </row>
    <row r="473">
      <c r="H473" s="224"/>
      <c r="I473" s="163"/>
      <c r="J473" s="170"/>
    </row>
    <row r="474">
      <c r="H474" s="224"/>
      <c r="I474" s="163"/>
      <c r="J474" s="170"/>
    </row>
    <row r="475">
      <c r="H475" s="224"/>
      <c r="I475" s="163"/>
      <c r="J475" s="170"/>
    </row>
    <row r="476">
      <c r="H476" s="224"/>
      <c r="I476" s="163"/>
      <c r="J476" s="170"/>
    </row>
    <row r="477">
      <c r="H477" s="224"/>
      <c r="I477" s="163"/>
      <c r="J477" s="170"/>
    </row>
    <row r="478">
      <c r="H478" s="224"/>
      <c r="I478" s="163"/>
      <c r="J478" s="170"/>
    </row>
    <row r="479">
      <c r="H479" s="224"/>
      <c r="I479" s="163"/>
      <c r="J479" s="170"/>
    </row>
    <row r="480">
      <c r="H480" s="224"/>
      <c r="I480" s="163"/>
      <c r="J480" s="170"/>
    </row>
    <row r="481">
      <c r="H481" s="224"/>
      <c r="I481" s="163"/>
      <c r="J481" s="170"/>
    </row>
    <row r="482">
      <c r="H482" s="224"/>
      <c r="I482" s="163"/>
      <c r="J482" s="170"/>
    </row>
    <row r="483">
      <c r="H483" s="224"/>
      <c r="I483" s="163"/>
      <c r="J483" s="170"/>
    </row>
    <row r="484">
      <c r="H484" s="224"/>
      <c r="I484" s="163"/>
      <c r="J484" s="170"/>
    </row>
    <row r="485">
      <c r="H485" s="224"/>
      <c r="I485" s="163"/>
      <c r="J485" s="170"/>
    </row>
    <row r="486">
      <c r="H486" s="224"/>
      <c r="I486" s="163"/>
      <c r="J486" s="170"/>
    </row>
    <row r="487">
      <c r="H487" s="224"/>
      <c r="I487" s="163"/>
      <c r="J487" s="170"/>
    </row>
    <row r="488">
      <c r="H488" s="224"/>
      <c r="I488" s="163"/>
      <c r="J488" s="170"/>
    </row>
    <row r="489">
      <c r="H489" s="224"/>
      <c r="I489" s="163"/>
      <c r="J489" s="170"/>
    </row>
    <row r="490">
      <c r="H490" s="224"/>
      <c r="I490" s="163"/>
      <c r="J490" s="170"/>
    </row>
    <row r="491">
      <c r="H491" s="224"/>
      <c r="I491" s="163"/>
      <c r="J491" s="170"/>
    </row>
    <row r="492">
      <c r="H492" s="224"/>
      <c r="I492" s="163"/>
      <c r="J492" s="170"/>
    </row>
    <row r="493">
      <c r="H493" s="224"/>
      <c r="I493" s="163"/>
      <c r="J493" s="170"/>
    </row>
    <row r="494">
      <c r="H494" s="224"/>
      <c r="I494" s="163"/>
      <c r="J494" s="170"/>
    </row>
    <row r="495">
      <c r="H495" s="224"/>
      <c r="I495" s="163"/>
      <c r="J495" s="170"/>
    </row>
    <row r="496">
      <c r="H496" s="224"/>
      <c r="I496" s="163"/>
      <c r="J496" s="170"/>
    </row>
    <row r="497">
      <c r="H497" s="224"/>
      <c r="I497" s="163"/>
      <c r="J497" s="170"/>
    </row>
    <row r="498">
      <c r="H498" s="224"/>
      <c r="I498" s="163"/>
      <c r="J498" s="170"/>
    </row>
    <row r="499">
      <c r="H499" s="224"/>
      <c r="I499" s="163"/>
      <c r="J499" s="170"/>
    </row>
    <row r="500">
      <c r="H500" s="224"/>
      <c r="I500" s="163"/>
      <c r="J500" s="170"/>
    </row>
    <row r="501">
      <c r="H501" s="224"/>
      <c r="I501" s="163"/>
      <c r="J501" s="170"/>
    </row>
    <row r="502">
      <c r="H502" s="224"/>
      <c r="I502" s="163"/>
      <c r="J502" s="170"/>
    </row>
    <row r="503">
      <c r="H503" s="224"/>
      <c r="I503" s="163"/>
      <c r="J503" s="170"/>
    </row>
    <row r="504">
      <c r="H504" s="224"/>
      <c r="I504" s="163"/>
      <c r="J504" s="170"/>
    </row>
    <row r="505">
      <c r="H505" s="224"/>
      <c r="I505" s="163"/>
      <c r="J505" s="170"/>
    </row>
    <row r="506">
      <c r="H506" s="224"/>
      <c r="I506" s="163"/>
      <c r="J506" s="170"/>
    </row>
    <row r="507">
      <c r="H507" s="224"/>
      <c r="I507" s="163"/>
      <c r="J507" s="170"/>
    </row>
    <row r="508">
      <c r="H508" s="224"/>
      <c r="I508" s="163"/>
      <c r="J508" s="170"/>
    </row>
    <row r="509">
      <c r="H509" s="224"/>
      <c r="I509" s="163"/>
      <c r="J509" s="170"/>
    </row>
    <row r="510">
      <c r="H510" s="224"/>
      <c r="I510" s="163"/>
      <c r="J510" s="170"/>
    </row>
    <row r="511">
      <c r="H511" s="224"/>
      <c r="I511" s="163"/>
      <c r="J511" s="170"/>
    </row>
    <row r="512">
      <c r="H512" s="224"/>
      <c r="I512" s="163"/>
      <c r="J512" s="170"/>
    </row>
    <row r="513">
      <c r="H513" s="224"/>
      <c r="I513" s="163"/>
      <c r="J513" s="170"/>
    </row>
    <row r="514">
      <c r="H514" s="224"/>
      <c r="I514" s="163"/>
      <c r="J514" s="170"/>
    </row>
    <row r="515">
      <c r="H515" s="224"/>
      <c r="I515" s="163"/>
      <c r="J515" s="170"/>
    </row>
    <row r="516">
      <c r="H516" s="224"/>
      <c r="I516" s="163"/>
      <c r="J516" s="170"/>
    </row>
    <row r="517">
      <c r="H517" s="224"/>
      <c r="I517" s="163"/>
      <c r="J517" s="170"/>
    </row>
    <row r="518">
      <c r="H518" s="224"/>
      <c r="I518" s="163"/>
      <c r="J518" s="170"/>
    </row>
    <row r="519">
      <c r="H519" s="224"/>
      <c r="I519" s="163"/>
      <c r="J519" s="170"/>
    </row>
    <row r="520">
      <c r="H520" s="224"/>
      <c r="I520" s="163"/>
      <c r="J520" s="170"/>
    </row>
    <row r="521">
      <c r="H521" s="224"/>
      <c r="I521" s="163"/>
      <c r="J521" s="170"/>
    </row>
    <row r="522">
      <c r="H522" s="224"/>
      <c r="I522" s="163"/>
      <c r="J522" s="170"/>
    </row>
    <row r="523">
      <c r="H523" s="224"/>
      <c r="I523" s="163"/>
      <c r="J523" s="170"/>
    </row>
    <row r="524">
      <c r="H524" s="224"/>
      <c r="I524" s="163"/>
      <c r="J524" s="170"/>
    </row>
    <row r="525">
      <c r="H525" s="224"/>
      <c r="I525" s="163"/>
      <c r="J525" s="170"/>
    </row>
    <row r="526">
      <c r="H526" s="224"/>
      <c r="I526" s="163"/>
      <c r="J526" s="170"/>
    </row>
    <row r="527">
      <c r="H527" s="224"/>
      <c r="I527" s="163"/>
      <c r="J527" s="170"/>
    </row>
    <row r="528">
      <c r="H528" s="224"/>
      <c r="I528" s="163"/>
      <c r="J528" s="170"/>
    </row>
    <row r="529">
      <c r="H529" s="224"/>
      <c r="I529" s="163"/>
      <c r="J529" s="170"/>
    </row>
    <row r="530">
      <c r="H530" s="224"/>
      <c r="I530" s="163"/>
      <c r="J530" s="170"/>
    </row>
    <row r="531">
      <c r="H531" s="224"/>
      <c r="I531" s="163"/>
      <c r="J531" s="170"/>
    </row>
    <row r="532">
      <c r="H532" s="224"/>
      <c r="I532" s="163"/>
      <c r="J532" s="170"/>
    </row>
    <row r="533">
      <c r="H533" s="224"/>
      <c r="I533" s="163"/>
      <c r="J533" s="170"/>
    </row>
    <row r="534">
      <c r="H534" s="224"/>
      <c r="I534" s="163"/>
      <c r="J534" s="170"/>
    </row>
    <row r="535">
      <c r="H535" s="224"/>
      <c r="I535" s="163"/>
      <c r="J535" s="170"/>
    </row>
    <row r="536">
      <c r="H536" s="224"/>
      <c r="I536" s="163"/>
      <c r="J536" s="170"/>
    </row>
    <row r="537">
      <c r="H537" s="224"/>
      <c r="I537" s="163"/>
      <c r="J537" s="170"/>
    </row>
    <row r="538">
      <c r="H538" s="224"/>
      <c r="I538" s="163"/>
      <c r="J538" s="170"/>
    </row>
    <row r="539">
      <c r="H539" s="224"/>
      <c r="I539" s="163"/>
      <c r="J539" s="170"/>
    </row>
    <row r="540">
      <c r="H540" s="224"/>
      <c r="I540" s="163"/>
      <c r="J540" s="170"/>
    </row>
    <row r="541">
      <c r="H541" s="224"/>
      <c r="I541" s="163"/>
      <c r="J541" s="170"/>
    </row>
    <row r="542">
      <c r="H542" s="224"/>
      <c r="I542" s="163"/>
      <c r="J542" s="170"/>
    </row>
    <row r="543">
      <c r="H543" s="224"/>
      <c r="I543" s="163"/>
      <c r="J543" s="170"/>
    </row>
    <row r="544">
      <c r="H544" s="224"/>
      <c r="I544" s="163"/>
      <c r="J544" s="170"/>
    </row>
    <row r="545">
      <c r="H545" s="224"/>
      <c r="I545" s="163"/>
      <c r="J545" s="170"/>
    </row>
    <row r="546">
      <c r="H546" s="224"/>
      <c r="I546" s="163"/>
      <c r="J546" s="170"/>
    </row>
    <row r="547">
      <c r="H547" s="224"/>
      <c r="I547" s="163"/>
      <c r="J547" s="170"/>
    </row>
    <row r="548">
      <c r="H548" s="224"/>
      <c r="I548" s="163"/>
      <c r="J548" s="170"/>
    </row>
    <row r="549">
      <c r="H549" s="224"/>
      <c r="I549" s="163"/>
      <c r="J549" s="170"/>
    </row>
    <row r="550">
      <c r="H550" s="224"/>
      <c r="I550" s="163"/>
      <c r="J550" s="170"/>
    </row>
    <row r="551">
      <c r="H551" s="224"/>
      <c r="I551" s="163"/>
      <c r="J551" s="170"/>
    </row>
    <row r="552">
      <c r="H552" s="224"/>
      <c r="I552" s="163"/>
      <c r="J552" s="170"/>
    </row>
    <row r="553">
      <c r="H553" s="224"/>
      <c r="I553" s="163"/>
      <c r="J553" s="170"/>
    </row>
    <row r="554">
      <c r="H554" s="224"/>
      <c r="I554" s="163"/>
      <c r="J554" s="170"/>
    </row>
    <row r="555">
      <c r="H555" s="224"/>
      <c r="I555" s="163"/>
      <c r="J555" s="170"/>
    </row>
    <row r="556">
      <c r="H556" s="224"/>
      <c r="I556" s="163"/>
      <c r="J556" s="170"/>
    </row>
    <row r="557">
      <c r="H557" s="224"/>
      <c r="I557" s="163"/>
      <c r="J557" s="170"/>
    </row>
    <row r="558">
      <c r="H558" s="224"/>
      <c r="I558" s="163"/>
      <c r="J558" s="170"/>
    </row>
    <row r="559">
      <c r="H559" s="224"/>
      <c r="I559" s="163"/>
      <c r="J559" s="170"/>
    </row>
    <row r="560">
      <c r="H560" s="224"/>
      <c r="I560" s="163"/>
      <c r="J560" s="170"/>
    </row>
    <row r="561">
      <c r="H561" s="224"/>
      <c r="I561" s="163"/>
      <c r="J561" s="170"/>
    </row>
    <row r="562">
      <c r="H562" s="224"/>
      <c r="I562" s="163"/>
      <c r="J562" s="170"/>
    </row>
    <row r="563">
      <c r="H563" s="224"/>
      <c r="I563" s="163"/>
      <c r="J563" s="170"/>
    </row>
    <row r="564">
      <c r="H564" s="224"/>
      <c r="I564" s="163"/>
      <c r="J564" s="170"/>
    </row>
    <row r="565">
      <c r="H565" s="224"/>
      <c r="I565" s="163"/>
      <c r="J565" s="170"/>
    </row>
    <row r="566">
      <c r="H566" s="224"/>
      <c r="I566" s="163"/>
      <c r="J566" s="170"/>
    </row>
    <row r="567">
      <c r="H567" s="224"/>
      <c r="I567" s="163"/>
      <c r="J567" s="170"/>
    </row>
    <row r="568">
      <c r="H568" s="224"/>
      <c r="I568" s="163"/>
      <c r="J568" s="170"/>
    </row>
    <row r="569">
      <c r="H569" s="224"/>
      <c r="I569" s="163"/>
      <c r="J569" s="170"/>
    </row>
    <row r="570">
      <c r="H570" s="224"/>
      <c r="I570" s="163"/>
      <c r="J570" s="170"/>
    </row>
    <row r="571">
      <c r="H571" s="224"/>
      <c r="I571" s="163"/>
      <c r="J571" s="170"/>
    </row>
    <row r="572">
      <c r="H572" s="224"/>
      <c r="I572" s="163"/>
      <c r="J572" s="170"/>
    </row>
    <row r="573">
      <c r="H573" s="224"/>
      <c r="I573" s="163"/>
      <c r="J573" s="170"/>
    </row>
    <row r="574">
      <c r="H574" s="224"/>
      <c r="I574" s="163"/>
      <c r="J574" s="170"/>
    </row>
    <row r="575">
      <c r="H575" s="224"/>
      <c r="I575" s="163"/>
      <c r="J575" s="170"/>
    </row>
    <row r="576">
      <c r="H576" s="224"/>
      <c r="I576" s="163"/>
      <c r="J576" s="170"/>
    </row>
    <row r="577">
      <c r="H577" s="224"/>
      <c r="I577" s="163"/>
      <c r="J577" s="170"/>
    </row>
    <row r="578">
      <c r="H578" s="224"/>
      <c r="I578" s="163"/>
      <c r="J578" s="170"/>
    </row>
    <row r="579">
      <c r="H579" s="224"/>
      <c r="I579" s="163"/>
      <c r="J579" s="170"/>
    </row>
    <row r="580">
      <c r="H580" s="224"/>
      <c r="I580" s="163"/>
      <c r="J580" s="170"/>
    </row>
    <row r="581">
      <c r="H581" s="224"/>
      <c r="I581" s="163"/>
      <c r="J581" s="170"/>
    </row>
    <row r="582">
      <c r="H582" s="224"/>
      <c r="I582" s="163"/>
      <c r="J582" s="170"/>
    </row>
    <row r="583">
      <c r="H583" s="224"/>
      <c r="I583" s="163"/>
      <c r="J583" s="170"/>
    </row>
    <row r="584">
      <c r="H584" s="224"/>
      <c r="I584" s="163"/>
      <c r="J584" s="170"/>
    </row>
    <row r="585">
      <c r="H585" s="224"/>
      <c r="I585" s="163"/>
      <c r="J585" s="170"/>
    </row>
    <row r="586">
      <c r="H586" s="224"/>
      <c r="I586" s="163"/>
      <c r="J586" s="170"/>
    </row>
    <row r="587">
      <c r="H587" s="224"/>
      <c r="I587" s="163"/>
      <c r="J587" s="170"/>
    </row>
    <row r="588">
      <c r="H588" s="224"/>
      <c r="I588" s="163"/>
      <c r="J588" s="170"/>
    </row>
    <row r="589">
      <c r="H589" s="224"/>
      <c r="I589" s="163"/>
      <c r="J589" s="170"/>
    </row>
    <row r="590">
      <c r="H590" s="224"/>
      <c r="I590" s="163"/>
      <c r="J590" s="170"/>
    </row>
    <row r="591">
      <c r="H591" s="224"/>
      <c r="I591" s="163"/>
      <c r="J591" s="170"/>
    </row>
    <row r="592">
      <c r="H592" s="224"/>
      <c r="I592" s="163"/>
      <c r="J592" s="170"/>
    </row>
    <row r="593">
      <c r="H593" s="224"/>
      <c r="I593" s="163"/>
      <c r="J593" s="170"/>
    </row>
    <row r="594">
      <c r="H594" s="224"/>
      <c r="I594" s="163"/>
      <c r="J594" s="170"/>
    </row>
    <row r="595">
      <c r="H595" s="224"/>
      <c r="I595" s="163"/>
      <c r="J595" s="170"/>
    </row>
    <row r="596">
      <c r="H596" s="224"/>
      <c r="I596" s="163"/>
      <c r="J596" s="170"/>
    </row>
    <row r="597">
      <c r="H597" s="224"/>
      <c r="I597" s="163"/>
      <c r="J597" s="170"/>
    </row>
    <row r="598">
      <c r="H598" s="224"/>
      <c r="I598" s="163"/>
      <c r="J598" s="170"/>
    </row>
    <row r="599">
      <c r="H599" s="224"/>
      <c r="I599" s="163"/>
      <c r="J599" s="170"/>
    </row>
    <row r="600">
      <c r="H600" s="224"/>
      <c r="I600" s="163"/>
      <c r="J600" s="170"/>
    </row>
    <row r="601">
      <c r="H601" s="224"/>
      <c r="I601" s="163"/>
      <c r="J601" s="170"/>
    </row>
    <row r="602">
      <c r="H602" s="224"/>
      <c r="I602" s="163"/>
      <c r="J602" s="170"/>
    </row>
    <row r="603">
      <c r="H603" s="224"/>
      <c r="I603" s="163"/>
      <c r="J603" s="170"/>
    </row>
    <row r="604">
      <c r="H604" s="224"/>
      <c r="I604" s="163"/>
      <c r="J604" s="170"/>
    </row>
    <row r="605">
      <c r="H605" s="224"/>
      <c r="I605" s="163"/>
      <c r="J605" s="170"/>
    </row>
    <row r="606">
      <c r="H606" s="224"/>
      <c r="I606" s="163"/>
      <c r="J606" s="170"/>
    </row>
    <row r="607">
      <c r="H607" s="224"/>
      <c r="I607" s="163"/>
      <c r="J607" s="170"/>
    </row>
    <row r="608">
      <c r="H608" s="224"/>
      <c r="I608" s="163"/>
      <c r="J608" s="170"/>
    </row>
    <row r="609">
      <c r="H609" s="224"/>
      <c r="I609" s="163"/>
      <c r="J609" s="170"/>
    </row>
    <row r="610">
      <c r="H610" s="224"/>
      <c r="I610" s="163"/>
      <c r="J610" s="170"/>
    </row>
    <row r="611">
      <c r="H611" s="224"/>
      <c r="I611" s="163"/>
      <c r="J611" s="170"/>
    </row>
    <row r="612">
      <c r="H612" s="224"/>
      <c r="I612" s="163"/>
      <c r="J612" s="170"/>
    </row>
    <row r="613">
      <c r="H613" s="224"/>
      <c r="I613" s="163"/>
      <c r="J613" s="170"/>
    </row>
    <row r="614">
      <c r="H614" s="224"/>
      <c r="I614" s="163"/>
      <c r="J614" s="170"/>
    </row>
    <row r="615">
      <c r="H615" s="224"/>
      <c r="I615" s="163"/>
      <c r="J615" s="170"/>
    </row>
    <row r="616">
      <c r="H616" s="224"/>
      <c r="I616" s="163"/>
      <c r="J616" s="170"/>
    </row>
    <row r="617">
      <c r="H617" s="224"/>
      <c r="I617" s="163"/>
      <c r="J617" s="170"/>
    </row>
    <row r="618">
      <c r="H618" s="224"/>
      <c r="I618" s="163"/>
      <c r="J618" s="170"/>
    </row>
    <row r="619">
      <c r="H619" s="224"/>
      <c r="I619" s="163"/>
      <c r="J619" s="170"/>
    </row>
    <row r="620">
      <c r="H620" s="224"/>
      <c r="I620" s="163"/>
      <c r="J620" s="170"/>
    </row>
    <row r="621">
      <c r="H621" s="224"/>
      <c r="I621" s="163"/>
      <c r="J621" s="170"/>
    </row>
    <row r="622">
      <c r="H622" s="224"/>
      <c r="I622" s="163"/>
      <c r="J622" s="170"/>
    </row>
    <row r="623">
      <c r="H623" s="224"/>
      <c r="I623" s="163"/>
      <c r="J623" s="170"/>
    </row>
    <row r="624">
      <c r="H624" s="224"/>
      <c r="I624" s="163"/>
      <c r="J624" s="170"/>
    </row>
    <row r="625">
      <c r="H625" s="224"/>
      <c r="I625" s="163"/>
      <c r="J625" s="170"/>
    </row>
    <row r="626">
      <c r="H626" s="224"/>
      <c r="I626" s="163"/>
      <c r="J626" s="170"/>
    </row>
    <row r="627">
      <c r="H627" s="224"/>
      <c r="I627" s="163"/>
      <c r="J627" s="170"/>
    </row>
    <row r="628">
      <c r="H628" s="224"/>
      <c r="I628" s="163"/>
      <c r="J628" s="170"/>
    </row>
    <row r="629">
      <c r="H629" s="224"/>
      <c r="I629" s="163"/>
      <c r="J629" s="170"/>
    </row>
    <row r="630">
      <c r="H630" s="224"/>
      <c r="I630" s="163"/>
      <c r="J630" s="170"/>
    </row>
    <row r="631">
      <c r="H631" s="224"/>
      <c r="I631" s="163"/>
      <c r="J631" s="170"/>
    </row>
    <row r="632">
      <c r="H632" s="224"/>
      <c r="I632" s="163"/>
      <c r="J632" s="170"/>
    </row>
    <row r="633">
      <c r="H633" s="224"/>
      <c r="I633" s="163"/>
      <c r="J633" s="170"/>
    </row>
    <row r="634">
      <c r="H634" s="224"/>
      <c r="I634" s="163"/>
      <c r="J634" s="170"/>
    </row>
    <row r="635">
      <c r="H635" s="224"/>
      <c r="I635" s="163"/>
      <c r="J635" s="170"/>
    </row>
    <row r="636">
      <c r="H636" s="224"/>
      <c r="I636" s="163"/>
      <c r="J636" s="170"/>
    </row>
    <row r="637">
      <c r="H637" s="224"/>
      <c r="I637" s="163"/>
      <c r="J637" s="170"/>
    </row>
    <row r="638">
      <c r="H638" s="224"/>
      <c r="I638" s="163"/>
      <c r="J638" s="170"/>
    </row>
    <row r="639">
      <c r="H639" s="224"/>
      <c r="I639" s="163"/>
      <c r="J639" s="170"/>
    </row>
    <row r="640">
      <c r="H640" s="224"/>
      <c r="I640" s="163"/>
      <c r="J640" s="170"/>
    </row>
    <row r="641">
      <c r="H641" s="224"/>
      <c r="I641" s="163"/>
      <c r="J641" s="170"/>
    </row>
    <row r="642">
      <c r="H642" s="224"/>
      <c r="I642" s="163"/>
      <c r="J642" s="170"/>
    </row>
    <row r="643">
      <c r="H643" s="224"/>
      <c r="I643" s="163"/>
      <c r="J643" s="170"/>
    </row>
    <row r="644">
      <c r="H644" s="224"/>
      <c r="I644" s="163"/>
      <c r="J644" s="170"/>
    </row>
    <row r="645">
      <c r="H645" s="224"/>
      <c r="I645" s="163"/>
      <c r="J645" s="170"/>
    </row>
    <row r="646">
      <c r="H646" s="224"/>
      <c r="I646" s="163"/>
      <c r="J646" s="170"/>
    </row>
    <row r="647">
      <c r="H647" s="224"/>
      <c r="I647" s="163"/>
      <c r="J647" s="170"/>
    </row>
    <row r="648">
      <c r="H648" s="224"/>
      <c r="I648" s="163"/>
      <c r="J648" s="170"/>
    </row>
    <row r="649">
      <c r="H649" s="224"/>
      <c r="I649" s="163"/>
      <c r="J649" s="170"/>
    </row>
    <row r="650">
      <c r="H650" s="224"/>
      <c r="I650" s="163"/>
      <c r="J650" s="170"/>
    </row>
    <row r="651">
      <c r="H651" s="224"/>
      <c r="I651" s="163"/>
      <c r="J651" s="170"/>
    </row>
    <row r="652">
      <c r="H652" s="224"/>
      <c r="I652" s="163"/>
      <c r="J652" s="170"/>
    </row>
    <row r="653">
      <c r="H653" s="224"/>
      <c r="I653" s="163"/>
      <c r="J653" s="170"/>
    </row>
    <row r="654">
      <c r="H654" s="224"/>
      <c r="I654" s="163"/>
      <c r="J654" s="170"/>
    </row>
    <row r="655">
      <c r="H655" s="224"/>
      <c r="I655" s="163"/>
      <c r="J655" s="170"/>
    </row>
    <row r="656">
      <c r="H656" s="224"/>
      <c r="I656" s="163"/>
      <c r="J656" s="170"/>
    </row>
    <row r="657">
      <c r="H657" s="224"/>
      <c r="I657" s="163"/>
      <c r="J657" s="170"/>
    </row>
    <row r="658">
      <c r="H658" s="224"/>
      <c r="I658" s="163"/>
      <c r="J658" s="170"/>
    </row>
    <row r="659">
      <c r="H659" s="224"/>
      <c r="I659" s="163"/>
      <c r="J659" s="170"/>
    </row>
    <row r="660">
      <c r="H660" s="224"/>
      <c r="I660" s="163"/>
      <c r="J660" s="170"/>
    </row>
    <row r="661">
      <c r="H661" s="224"/>
      <c r="I661" s="163"/>
      <c r="J661" s="170"/>
    </row>
    <row r="662">
      <c r="H662" s="224"/>
      <c r="I662" s="163"/>
      <c r="J662" s="170"/>
    </row>
    <row r="663">
      <c r="H663" s="224"/>
      <c r="I663" s="163"/>
      <c r="J663" s="170"/>
    </row>
    <row r="664">
      <c r="H664" s="224"/>
      <c r="I664" s="163"/>
      <c r="J664" s="170"/>
    </row>
    <row r="665">
      <c r="H665" s="224"/>
      <c r="I665" s="163"/>
      <c r="J665" s="170"/>
    </row>
    <row r="666">
      <c r="H666" s="224"/>
      <c r="I666" s="163"/>
      <c r="J666" s="170"/>
    </row>
    <row r="667">
      <c r="H667" s="224"/>
      <c r="I667" s="163"/>
      <c r="J667" s="170"/>
    </row>
    <row r="668">
      <c r="H668" s="224"/>
      <c r="I668" s="163"/>
      <c r="J668" s="170"/>
    </row>
    <row r="669">
      <c r="H669" s="224"/>
      <c r="I669" s="163"/>
      <c r="J669" s="170"/>
    </row>
    <row r="670">
      <c r="H670" s="224"/>
      <c r="I670" s="163"/>
      <c r="J670" s="170"/>
    </row>
    <row r="671">
      <c r="H671" s="224"/>
      <c r="I671" s="163"/>
      <c r="J671" s="170"/>
    </row>
    <row r="672">
      <c r="H672" s="224"/>
      <c r="I672" s="163"/>
      <c r="J672" s="170"/>
    </row>
    <row r="673">
      <c r="H673" s="224"/>
      <c r="I673" s="163"/>
      <c r="J673" s="170"/>
    </row>
    <row r="674">
      <c r="H674" s="224"/>
      <c r="I674" s="163"/>
      <c r="J674" s="170"/>
    </row>
    <row r="675">
      <c r="H675" s="224"/>
      <c r="I675" s="163"/>
      <c r="J675" s="170"/>
    </row>
    <row r="676">
      <c r="H676" s="224"/>
      <c r="I676" s="163"/>
      <c r="J676" s="170"/>
    </row>
    <row r="677">
      <c r="H677" s="224"/>
      <c r="I677" s="163"/>
      <c r="J677" s="170"/>
    </row>
    <row r="678">
      <c r="H678" s="224"/>
      <c r="I678" s="163"/>
      <c r="J678" s="170"/>
    </row>
    <row r="679">
      <c r="H679" s="224"/>
      <c r="I679" s="163"/>
      <c r="J679" s="170"/>
    </row>
    <row r="680">
      <c r="H680" s="224"/>
      <c r="I680" s="163"/>
      <c r="J680" s="170"/>
    </row>
    <row r="681">
      <c r="H681" s="224"/>
      <c r="I681" s="163"/>
      <c r="J681" s="170"/>
    </row>
    <row r="682">
      <c r="H682" s="224"/>
      <c r="I682" s="163"/>
      <c r="J682" s="170"/>
    </row>
    <row r="683">
      <c r="H683" s="224"/>
      <c r="I683" s="163"/>
      <c r="J683" s="170"/>
    </row>
    <row r="684">
      <c r="H684" s="224"/>
      <c r="I684" s="163"/>
      <c r="J684" s="170"/>
    </row>
    <row r="685">
      <c r="H685" s="224"/>
      <c r="I685" s="163"/>
      <c r="J685" s="170"/>
    </row>
    <row r="686">
      <c r="H686" s="224"/>
      <c r="I686" s="163"/>
      <c r="J686" s="170"/>
    </row>
    <row r="687">
      <c r="H687" s="224"/>
      <c r="I687" s="163"/>
      <c r="J687" s="170"/>
    </row>
    <row r="688">
      <c r="H688" s="224"/>
      <c r="I688" s="163"/>
      <c r="J688" s="170"/>
    </row>
    <row r="689">
      <c r="H689" s="224"/>
      <c r="I689" s="163"/>
      <c r="J689" s="170"/>
    </row>
    <row r="690">
      <c r="H690" s="224"/>
      <c r="I690" s="163"/>
      <c r="J690" s="170"/>
    </row>
    <row r="691">
      <c r="H691" s="224"/>
      <c r="I691" s="163"/>
      <c r="J691" s="170"/>
    </row>
    <row r="692">
      <c r="H692" s="224"/>
      <c r="I692" s="163"/>
      <c r="J692" s="170"/>
    </row>
    <row r="693">
      <c r="H693" s="224"/>
      <c r="I693" s="163"/>
      <c r="J693" s="170"/>
    </row>
    <row r="694">
      <c r="H694" s="224"/>
      <c r="I694" s="163"/>
      <c r="J694" s="170"/>
    </row>
    <row r="695">
      <c r="H695" s="224"/>
      <c r="I695" s="163"/>
      <c r="J695" s="170"/>
    </row>
    <row r="696">
      <c r="H696" s="224"/>
      <c r="I696" s="163"/>
      <c r="J696" s="170"/>
    </row>
    <row r="697">
      <c r="H697" s="224"/>
      <c r="I697" s="163"/>
      <c r="J697" s="170"/>
    </row>
    <row r="698">
      <c r="H698" s="224"/>
      <c r="I698" s="163"/>
      <c r="J698" s="170"/>
    </row>
    <row r="699">
      <c r="H699" s="224"/>
      <c r="I699" s="163"/>
      <c r="J699" s="170"/>
    </row>
    <row r="700">
      <c r="H700" s="224"/>
      <c r="I700" s="163"/>
      <c r="J700" s="170"/>
    </row>
    <row r="701">
      <c r="H701" s="224"/>
      <c r="I701" s="163"/>
      <c r="J701" s="170"/>
    </row>
    <row r="702">
      <c r="H702" s="224"/>
      <c r="I702" s="163"/>
      <c r="J702" s="170"/>
    </row>
    <row r="703">
      <c r="H703" s="224"/>
      <c r="I703" s="163"/>
      <c r="J703" s="170"/>
    </row>
    <row r="704">
      <c r="H704" s="224"/>
      <c r="I704" s="163"/>
      <c r="J704" s="170"/>
    </row>
    <row r="705">
      <c r="H705" s="224"/>
      <c r="I705" s="163"/>
      <c r="J705" s="170"/>
    </row>
    <row r="706">
      <c r="H706" s="224"/>
      <c r="I706" s="163"/>
      <c r="J706" s="170"/>
    </row>
    <row r="707">
      <c r="H707" s="224"/>
      <c r="I707" s="163"/>
      <c r="J707" s="170"/>
    </row>
    <row r="708">
      <c r="H708" s="224"/>
      <c r="I708" s="163"/>
      <c r="J708" s="170"/>
    </row>
    <row r="709">
      <c r="H709" s="224"/>
      <c r="I709" s="163"/>
      <c r="J709" s="170"/>
    </row>
    <row r="710">
      <c r="H710" s="224"/>
      <c r="I710" s="163"/>
      <c r="J710" s="170"/>
    </row>
    <row r="711">
      <c r="H711" s="224"/>
      <c r="I711" s="163"/>
      <c r="J711" s="170"/>
    </row>
    <row r="712">
      <c r="H712" s="224"/>
      <c r="I712" s="163"/>
      <c r="J712" s="170"/>
    </row>
    <row r="713">
      <c r="H713" s="224"/>
      <c r="I713" s="163"/>
      <c r="J713" s="170"/>
    </row>
    <row r="714">
      <c r="H714" s="224"/>
      <c r="I714" s="163"/>
      <c r="J714" s="170"/>
    </row>
    <row r="715">
      <c r="H715" s="224"/>
      <c r="I715" s="163"/>
      <c r="J715" s="170"/>
    </row>
    <row r="716">
      <c r="H716" s="224"/>
      <c r="I716" s="163"/>
      <c r="J716" s="170"/>
    </row>
    <row r="717">
      <c r="H717" s="224"/>
      <c r="I717" s="163"/>
      <c r="J717" s="170"/>
    </row>
    <row r="718">
      <c r="H718" s="224"/>
      <c r="I718" s="163"/>
      <c r="J718" s="170"/>
    </row>
    <row r="719">
      <c r="H719" s="224"/>
      <c r="I719" s="163"/>
      <c r="J719" s="170"/>
    </row>
    <row r="720">
      <c r="H720" s="224"/>
      <c r="I720" s="163"/>
      <c r="J720" s="170"/>
    </row>
    <row r="721">
      <c r="H721" s="224"/>
      <c r="I721" s="163"/>
      <c r="J721" s="170"/>
    </row>
    <row r="722">
      <c r="H722" s="224"/>
      <c r="I722" s="163"/>
      <c r="J722" s="170"/>
    </row>
    <row r="723">
      <c r="H723" s="224"/>
      <c r="I723" s="163"/>
      <c r="J723" s="170"/>
    </row>
    <row r="724">
      <c r="H724" s="224"/>
      <c r="I724" s="163"/>
      <c r="J724" s="170"/>
    </row>
    <row r="725">
      <c r="H725" s="224"/>
      <c r="I725" s="163"/>
      <c r="J725" s="170"/>
    </row>
    <row r="726">
      <c r="H726" s="224"/>
      <c r="I726" s="163"/>
      <c r="J726" s="170"/>
    </row>
    <row r="727">
      <c r="H727" s="224"/>
      <c r="I727" s="163"/>
      <c r="J727" s="170"/>
    </row>
    <row r="728">
      <c r="H728" s="224"/>
      <c r="I728" s="163"/>
      <c r="J728" s="170"/>
    </row>
    <row r="729">
      <c r="H729" s="224"/>
      <c r="I729" s="163"/>
      <c r="J729" s="170"/>
    </row>
    <row r="730">
      <c r="H730" s="224"/>
      <c r="I730" s="163"/>
      <c r="J730" s="170"/>
    </row>
    <row r="731">
      <c r="H731" s="224"/>
      <c r="I731" s="163"/>
      <c r="J731" s="170"/>
    </row>
    <row r="732">
      <c r="H732" s="224"/>
      <c r="I732" s="163"/>
      <c r="J732" s="170"/>
    </row>
    <row r="733">
      <c r="H733" s="224"/>
      <c r="I733" s="163"/>
      <c r="J733" s="170"/>
    </row>
    <row r="734">
      <c r="H734" s="224"/>
      <c r="I734" s="163"/>
      <c r="J734" s="170"/>
    </row>
    <row r="735">
      <c r="H735" s="224"/>
      <c r="I735" s="163"/>
      <c r="J735" s="170"/>
    </row>
    <row r="736">
      <c r="H736" s="224"/>
      <c r="I736" s="163"/>
      <c r="J736" s="170"/>
    </row>
    <row r="737">
      <c r="H737" s="224"/>
      <c r="I737" s="163"/>
      <c r="J737" s="170"/>
    </row>
    <row r="738">
      <c r="H738" s="224"/>
      <c r="I738" s="163"/>
      <c r="J738" s="170"/>
    </row>
    <row r="739">
      <c r="H739" s="224"/>
      <c r="I739" s="163"/>
      <c r="J739" s="170"/>
    </row>
    <row r="740">
      <c r="H740" s="224"/>
      <c r="I740" s="163"/>
      <c r="J740" s="170"/>
    </row>
    <row r="741">
      <c r="H741" s="224"/>
      <c r="I741" s="163"/>
      <c r="J741" s="170"/>
    </row>
    <row r="742">
      <c r="H742" s="224"/>
      <c r="I742" s="163"/>
      <c r="J742" s="170"/>
    </row>
    <row r="743">
      <c r="H743" s="224"/>
      <c r="I743" s="163"/>
      <c r="J743" s="170"/>
    </row>
    <row r="744">
      <c r="H744" s="224"/>
      <c r="I744" s="163"/>
      <c r="J744" s="170"/>
    </row>
    <row r="745">
      <c r="H745" s="224"/>
      <c r="I745" s="163"/>
      <c r="J745" s="170"/>
    </row>
    <row r="746">
      <c r="H746" s="224"/>
      <c r="I746" s="163"/>
      <c r="J746" s="170"/>
    </row>
    <row r="747">
      <c r="H747" s="224"/>
      <c r="I747" s="163"/>
      <c r="J747" s="170"/>
    </row>
    <row r="748">
      <c r="H748" s="224"/>
      <c r="I748" s="163"/>
      <c r="J748" s="170"/>
    </row>
    <row r="749">
      <c r="H749" s="224"/>
      <c r="I749" s="163"/>
      <c r="J749" s="170"/>
    </row>
    <row r="750">
      <c r="H750" s="224"/>
      <c r="I750" s="163"/>
      <c r="J750" s="170"/>
    </row>
    <row r="751">
      <c r="H751" s="224"/>
      <c r="I751" s="163"/>
      <c r="J751" s="170"/>
    </row>
    <row r="752">
      <c r="H752" s="224"/>
      <c r="I752" s="163"/>
      <c r="J752" s="170"/>
    </row>
    <row r="753">
      <c r="H753" s="224"/>
      <c r="I753" s="163"/>
      <c r="J753" s="170"/>
    </row>
    <row r="754">
      <c r="H754" s="224"/>
      <c r="I754" s="163"/>
      <c r="J754" s="170"/>
    </row>
    <row r="755">
      <c r="H755" s="224"/>
      <c r="I755" s="163"/>
      <c r="J755" s="170"/>
    </row>
    <row r="756">
      <c r="H756" s="224"/>
      <c r="I756" s="163"/>
      <c r="J756" s="170"/>
    </row>
    <row r="757">
      <c r="H757" s="224"/>
      <c r="I757" s="163"/>
      <c r="J757" s="170"/>
    </row>
    <row r="758">
      <c r="H758" s="224"/>
      <c r="I758" s="163"/>
      <c r="J758" s="170"/>
    </row>
    <row r="759">
      <c r="H759" s="224"/>
      <c r="I759" s="163"/>
      <c r="J759" s="170"/>
    </row>
    <row r="760">
      <c r="H760" s="224"/>
      <c r="I760" s="163"/>
      <c r="J760" s="170"/>
    </row>
    <row r="761">
      <c r="H761" s="224"/>
      <c r="I761" s="163"/>
      <c r="J761" s="170"/>
    </row>
    <row r="762">
      <c r="H762" s="224"/>
      <c r="I762" s="163"/>
      <c r="J762" s="170"/>
    </row>
    <row r="763">
      <c r="H763" s="224"/>
      <c r="I763" s="163"/>
      <c r="J763" s="170"/>
    </row>
    <row r="764">
      <c r="H764" s="224"/>
      <c r="I764" s="163"/>
      <c r="J764" s="170"/>
    </row>
    <row r="765">
      <c r="H765" s="224"/>
      <c r="I765" s="163"/>
      <c r="J765" s="170"/>
    </row>
    <row r="766">
      <c r="H766" s="224"/>
      <c r="I766" s="163"/>
      <c r="J766" s="170"/>
    </row>
    <row r="767">
      <c r="H767" s="224"/>
      <c r="I767" s="163"/>
      <c r="J767" s="170"/>
    </row>
    <row r="768">
      <c r="H768" s="224"/>
      <c r="I768" s="163"/>
      <c r="J768" s="170"/>
    </row>
    <row r="769">
      <c r="H769" s="224"/>
      <c r="I769" s="163"/>
      <c r="J769" s="170"/>
    </row>
    <row r="770">
      <c r="H770" s="224"/>
      <c r="I770" s="163"/>
      <c r="J770" s="170"/>
    </row>
    <row r="771">
      <c r="H771" s="224"/>
      <c r="I771" s="163"/>
      <c r="J771" s="170"/>
    </row>
    <row r="772">
      <c r="H772" s="224"/>
      <c r="I772" s="163"/>
      <c r="J772" s="170"/>
    </row>
    <row r="773">
      <c r="H773" s="224"/>
      <c r="I773" s="163"/>
      <c r="J773" s="170"/>
    </row>
    <row r="774">
      <c r="H774" s="224"/>
      <c r="I774" s="163"/>
      <c r="J774" s="170"/>
    </row>
    <row r="775">
      <c r="H775" s="224"/>
      <c r="I775" s="163"/>
      <c r="J775" s="170"/>
    </row>
    <row r="776">
      <c r="H776" s="224"/>
      <c r="I776" s="163"/>
      <c r="J776" s="170"/>
    </row>
    <row r="777">
      <c r="H777" s="224"/>
      <c r="I777" s="163"/>
      <c r="J777" s="170"/>
    </row>
    <row r="778">
      <c r="H778" s="224"/>
      <c r="I778" s="163"/>
      <c r="J778" s="170"/>
    </row>
    <row r="779">
      <c r="H779" s="224"/>
      <c r="I779" s="163"/>
      <c r="J779" s="170"/>
    </row>
    <row r="780">
      <c r="H780" s="224"/>
      <c r="I780" s="163"/>
      <c r="J780" s="170"/>
    </row>
    <row r="781">
      <c r="H781" s="224"/>
      <c r="I781" s="163"/>
      <c r="J781" s="170"/>
    </row>
    <row r="782">
      <c r="H782" s="224"/>
      <c r="I782" s="163"/>
      <c r="J782" s="170"/>
    </row>
    <row r="783">
      <c r="H783" s="224"/>
      <c r="I783" s="163"/>
      <c r="J783" s="170"/>
    </row>
    <row r="784">
      <c r="H784" s="224"/>
      <c r="I784" s="163"/>
      <c r="J784" s="170"/>
    </row>
    <row r="785">
      <c r="H785" s="224"/>
      <c r="I785" s="163"/>
      <c r="J785" s="170"/>
    </row>
    <row r="786">
      <c r="H786" s="224"/>
      <c r="I786" s="163"/>
      <c r="J786" s="170"/>
    </row>
    <row r="787">
      <c r="H787" s="224"/>
      <c r="I787" s="163"/>
      <c r="J787" s="170"/>
    </row>
    <row r="788">
      <c r="H788" s="224"/>
      <c r="I788" s="163"/>
      <c r="J788" s="170"/>
    </row>
    <row r="789">
      <c r="H789" s="224"/>
      <c r="I789" s="163"/>
      <c r="J789" s="170"/>
    </row>
    <row r="790">
      <c r="H790" s="224"/>
      <c r="I790" s="163"/>
      <c r="J790" s="170"/>
    </row>
    <row r="791">
      <c r="H791" s="224"/>
      <c r="I791" s="163"/>
      <c r="J791" s="170"/>
    </row>
    <row r="792">
      <c r="H792" s="224"/>
      <c r="I792" s="163"/>
      <c r="J792" s="170"/>
    </row>
    <row r="793">
      <c r="H793" s="224"/>
      <c r="I793" s="163"/>
      <c r="J793" s="170"/>
    </row>
    <row r="794">
      <c r="H794" s="224"/>
      <c r="I794" s="163"/>
      <c r="J794" s="170"/>
    </row>
    <row r="795">
      <c r="H795" s="224"/>
      <c r="I795" s="163"/>
      <c r="J795" s="170"/>
    </row>
    <row r="796">
      <c r="H796" s="224"/>
      <c r="I796" s="163"/>
      <c r="J796" s="170"/>
    </row>
    <row r="797">
      <c r="H797" s="224"/>
      <c r="I797" s="163"/>
      <c r="J797" s="170"/>
    </row>
    <row r="798">
      <c r="H798" s="224"/>
      <c r="I798" s="163"/>
      <c r="J798" s="170"/>
    </row>
    <row r="799">
      <c r="H799" s="224"/>
      <c r="I799" s="163"/>
      <c r="J799" s="170"/>
    </row>
    <row r="800">
      <c r="H800" s="224"/>
      <c r="I800" s="163"/>
      <c r="J800" s="170"/>
    </row>
    <row r="801">
      <c r="H801" s="224"/>
      <c r="I801" s="163"/>
      <c r="J801" s="170"/>
    </row>
    <row r="802">
      <c r="H802" s="224"/>
      <c r="I802" s="163"/>
      <c r="J802" s="170"/>
    </row>
    <row r="803">
      <c r="H803" s="224"/>
      <c r="I803" s="163"/>
      <c r="J803" s="170"/>
    </row>
    <row r="804">
      <c r="H804" s="224"/>
      <c r="I804" s="163"/>
      <c r="J804" s="170"/>
    </row>
    <row r="805">
      <c r="H805" s="224"/>
      <c r="I805" s="163"/>
      <c r="J805" s="170"/>
    </row>
    <row r="806">
      <c r="H806" s="224"/>
      <c r="I806" s="163"/>
      <c r="J806" s="170"/>
    </row>
    <row r="807">
      <c r="H807" s="224"/>
      <c r="I807" s="163"/>
      <c r="J807" s="170"/>
    </row>
    <row r="808">
      <c r="H808" s="224"/>
      <c r="I808" s="163"/>
      <c r="J808" s="170"/>
    </row>
    <row r="809">
      <c r="H809" s="224"/>
      <c r="I809" s="163"/>
      <c r="J809" s="170"/>
    </row>
    <row r="810">
      <c r="H810" s="224"/>
      <c r="I810" s="163"/>
      <c r="J810" s="170"/>
    </row>
    <row r="811">
      <c r="H811" s="224"/>
      <c r="I811" s="163"/>
      <c r="J811" s="170"/>
    </row>
    <row r="812">
      <c r="H812" s="224"/>
      <c r="I812" s="163"/>
      <c r="J812" s="170"/>
    </row>
    <row r="813">
      <c r="H813" s="224"/>
      <c r="I813" s="163"/>
      <c r="J813" s="170"/>
    </row>
    <row r="814">
      <c r="H814" s="224"/>
      <c r="I814" s="163"/>
      <c r="J814" s="170"/>
    </row>
    <row r="815">
      <c r="H815" s="224"/>
      <c r="I815" s="163"/>
      <c r="J815" s="170"/>
    </row>
    <row r="816">
      <c r="H816" s="224"/>
      <c r="I816" s="163"/>
      <c r="J816" s="170"/>
    </row>
    <row r="817">
      <c r="H817" s="224"/>
      <c r="I817" s="163"/>
      <c r="J817" s="170"/>
    </row>
    <row r="818">
      <c r="H818" s="224"/>
      <c r="I818" s="163"/>
      <c r="J818" s="170"/>
    </row>
    <row r="819">
      <c r="H819" s="224"/>
      <c r="I819" s="163"/>
      <c r="J819" s="170"/>
    </row>
    <row r="820">
      <c r="H820" s="224"/>
      <c r="I820" s="163"/>
      <c r="J820" s="170"/>
    </row>
    <row r="821">
      <c r="H821" s="224"/>
      <c r="I821" s="163"/>
      <c r="J821" s="170"/>
    </row>
    <row r="822">
      <c r="H822" s="224"/>
      <c r="I822" s="163"/>
      <c r="J822" s="170"/>
    </row>
    <row r="823">
      <c r="H823" s="224"/>
      <c r="I823" s="163"/>
      <c r="J823" s="170"/>
    </row>
    <row r="824">
      <c r="H824" s="224"/>
      <c r="I824" s="163"/>
      <c r="J824" s="170"/>
    </row>
    <row r="825">
      <c r="H825" s="224"/>
      <c r="I825" s="163"/>
      <c r="J825" s="170"/>
    </row>
    <row r="826">
      <c r="H826" s="224"/>
      <c r="I826" s="163"/>
      <c r="J826" s="170"/>
    </row>
    <row r="827">
      <c r="H827" s="224"/>
      <c r="I827" s="163"/>
      <c r="J827" s="170"/>
    </row>
    <row r="828">
      <c r="H828" s="224"/>
      <c r="I828" s="163"/>
      <c r="J828" s="170"/>
    </row>
    <row r="829">
      <c r="H829" s="224"/>
      <c r="I829" s="163"/>
      <c r="J829" s="170"/>
    </row>
    <row r="830">
      <c r="H830" s="224"/>
      <c r="I830" s="163"/>
      <c r="J830" s="170"/>
    </row>
    <row r="831">
      <c r="H831" s="224"/>
      <c r="I831" s="163"/>
      <c r="J831" s="170"/>
    </row>
    <row r="832">
      <c r="H832" s="224"/>
      <c r="I832" s="163"/>
      <c r="J832" s="170"/>
    </row>
    <row r="833">
      <c r="H833" s="224"/>
      <c r="I833" s="163"/>
      <c r="J833" s="170"/>
    </row>
    <row r="834">
      <c r="H834" s="224"/>
      <c r="I834" s="163"/>
      <c r="J834" s="170"/>
    </row>
    <row r="835">
      <c r="H835" s="224"/>
      <c r="I835" s="163"/>
      <c r="J835" s="170"/>
    </row>
    <row r="836">
      <c r="H836" s="224"/>
      <c r="I836" s="163"/>
      <c r="J836" s="170"/>
    </row>
    <row r="837">
      <c r="H837" s="224"/>
      <c r="I837" s="163"/>
      <c r="J837" s="170"/>
    </row>
    <row r="838">
      <c r="H838" s="224"/>
      <c r="I838" s="163"/>
      <c r="J838" s="170"/>
    </row>
    <row r="839">
      <c r="H839" s="224"/>
      <c r="I839" s="163"/>
      <c r="J839" s="170"/>
    </row>
    <row r="840">
      <c r="H840" s="224"/>
      <c r="I840" s="163"/>
      <c r="J840" s="170"/>
    </row>
    <row r="841">
      <c r="H841" s="224"/>
      <c r="I841" s="163"/>
      <c r="J841" s="170"/>
    </row>
    <row r="842">
      <c r="H842" s="224"/>
      <c r="I842" s="163"/>
      <c r="J842" s="170"/>
    </row>
    <row r="843">
      <c r="H843" s="224"/>
      <c r="I843" s="163"/>
      <c r="J843" s="170"/>
    </row>
    <row r="844">
      <c r="H844" s="224"/>
      <c r="I844" s="163"/>
      <c r="J844" s="170"/>
    </row>
    <row r="845">
      <c r="H845" s="224"/>
      <c r="I845" s="163"/>
      <c r="J845" s="170"/>
    </row>
    <row r="846">
      <c r="H846" s="224"/>
      <c r="I846" s="163"/>
      <c r="J846" s="170"/>
    </row>
    <row r="847">
      <c r="H847" s="224"/>
      <c r="I847" s="163"/>
      <c r="J847" s="170"/>
    </row>
    <row r="848">
      <c r="H848" s="224"/>
      <c r="I848" s="163"/>
      <c r="J848" s="170"/>
    </row>
    <row r="849">
      <c r="H849" s="224"/>
      <c r="I849" s="163"/>
      <c r="J849" s="170"/>
    </row>
    <row r="850">
      <c r="H850" s="224"/>
      <c r="I850" s="163"/>
      <c r="J850" s="170"/>
    </row>
    <row r="851">
      <c r="H851" s="224"/>
      <c r="I851" s="163"/>
      <c r="J851" s="170"/>
    </row>
    <row r="852">
      <c r="H852" s="224"/>
      <c r="I852" s="163"/>
      <c r="J852" s="170"/>
    </row>
    <row r="853">
      <c r="H853" s="224"/>
      <c r="I853" s="163"/>
      <c r="J853" s="170"/>
    </row>
    <row r="854">
      <c r="H854" s="224"/>
      <c r="I854" s="163"/>
      <c r="J854" s="170"/>
    </row>
    <row r="855">
      <c r="H855" s="224"/>
      <c r="I855" s="163"/>
      <c r="J855" s="170"/>
    </row>
    <row r="856">
      <c r="H856" s="224"/>
      <c r="I856" s="163"/>
      <c r="J856" s="170"/>
    </row>
    <row r="857">
      <c r="H857" s="224"/>
      <c r="I857" s="163"/>
      <c r="J857" s="170"/>
    </row>
    <row r="858">
      <c r="H858" s="224"/>
      <c r="I858" s="163"/>
      <c r="J858" s="170"/>
    </row>
    <row r="859">
      <c r="H859" s="224"/>
      <c r="I859" s="163"/>
      <c r="J859" s="170"/>
    </row>
    <row r="860">
      <c r="H860" s="224"/>
      <c r="I860" s="163"/>
      <c r="J860" s="170"/>
    </row>
    <row r="861">
      <c r="H861" s="224"/>
      <c r="I861" s="163"/>
      <c r="J861" s="170"/>
    </row>
    <row r="862">
      <c r="H862" s="224"/>
      <c r="I862" s="163"/>
      <c r="J862" s="170"/>
    </row>
    <row r="863">
      <c r="H863" s="224"/>
      <c r="I863" s="163"/>
      <c r="J863" s="170"/>
    </row>
    <row r="864">
      <c r="H864" s="224"/>
      <c r="I864" s="163"/>
      <c r="J864" s="170"/>
    </row>
    <row r="865">
      <c r="H865" s="224"/>
      <c r="I865" s="163"/>
      <c r="J865" s="170"/>
    </row>
    <row r="866">
      <c r="H866" s="224"/>
      <c r="I866" s="163"/>
      <c r="J866" s="170"/>
    </row>
    <row r="867">
      <c r="H867" s="224"/>
      <c r="I867" s="163"/>
      <c r="J867" s="170"/>
    </row>
    <row r="868">
      <c r="H868" s="224"/>
      <c r="I868" s="163"/>
      <c r="J868" s="170"/>
    </row>
    <row r="869">
      <c r="H869" s="224"/>
      <c r="I869" s="163"/>
      <c r="J869" s="170"/>
    </row>
    <row r="870">
      <c r="H870" s="224"/>
      <c r="I870" s="163"/>
      <c r="J870" s="170"/>
    </row>
    <row r="871">
      <c r="H871" s="224"/>
      <c r="I871" s="163"/>
      <c r="J871" s="170"/>
    </row>
    <row r="872">
      <c r="H872" s="224"/>
      <c r="I872" s="163"/>
      <c r="J872" s="170"/>
    </row>
    <row r="873">
      <c r="H873" s="224"/>
      <c r="I873" s="163"/>
      <c r="J873" s="170"/>
    </row>
    <row r="874">
      <c r="H874" s="224"/>
      <c r="I874" s="163"/>
      <c r="J874" s="170"/>
    </row>
    <row r="875">
      <c r="H875" s="224"/>
      <c r="I875" s="163"/>
      <c r="J875" s="170"/>
    </row>
    <row r="876">
      <c r="H876" s="224"/>
      <c r="I876" s="163"/>
      <c r="J876" s="170"/>
    </row>
    <row r="877">
      <c r="H877" s="224"/>
      <c r="I877" s="163"/>
      <c r="J877" s="170"/>
    </row>
    <row r="878">
      <c r="H878" s="224"/>
      <c r="I878" s="163"/>
      <c r="J878" s="170"/>
    </row>
    <row r="879">
      <c r="H879" s="224"/>
      <c r="I879" s="163"/>
      <c r="J879" s="170"/>
    </row>
    <row r="880">
      <c r="H880" s="224"/>
      <c r="I880" s="163"/>
      <c r="J880" s="170"/>
    </row>
    <row r="881">
      <c r="H881" s="224"/>
      <c r="I881" s="163"/>
      <c r="J881" s="170"/>
    </row>
    <row r="882">
      <c r="H882" s="224"/>
      <c r="I882" s="163"/>
      <c r="J882" s="170"/>
    </row>
    <row r="883">
      <c r="H883" s="224"/>
      <c r="I883" s="163"/>
      <c r="J883" s="170"/>
    </row>
    <row r="884">
      <c r="H884" s="224"/>
      <c r="I884" s="163"/>
      <c r="J884" s="170"/>
    </row>
    <row r="885">
      <c r="H885" s="224"/>
      <c r="I885" s="163"/>
      <c r="J885" s="170"/>
    </row>
    <row r="886">
      <c r="H886" s="224"/>
      <c r="I886" s="163"/>
      <c r="J886" s="170"/>
    </row>
    <row r="887">
      <c r="H887" s="224"/>
      <c r="I887" s="163"/>
      <c r="J887" s="170"/>
    </row>
    <row r="888">
      <c r="H888" s="224"/>
      <c r="I888" s="163"/>
      <c r="J888" s="170"/>
    </row>
    <row r="889">
      <c r="H889" s="224"/>
      <c r="I889" s="163"/>
      <c r="J889" s="170"/>
    </row>
    <row r="890">
      <c r="H890" s="224"/>
      <c r="I890" s="163"/>
      <c r="J890" s="170"/>
    </row>
    <row r="891">
      <c r="H891" s="224"/>
      <c r="I891" s="163"/>
      <c r="J891" s="170"/>
    </row>
    <row r="892">
      <c r="H892" s="224"/>
      <c r="I892" s="163"/>
      <c r="J892" s="170"/>
    </row>
    <row r="893">
      <c r="H893" s="224"/>
      <c r="I893" s="163"/>
      <c r="J893" s="170"/>
    </row>
    <row r="894">
      <c r="H894" s="224"/>
      <c r="I894" s="163"/>
      <c r="J894" s="170"/>
    </row>
    <row r="895">
      <c r="H895" s="224"/>
      <c r="I895" s="163"/>
      <c r="J895" s="170"/>
    </row>
    <row r="896">
      <c r="H896" s="224"/>
      <c r="I896" s="163"/>
      <c r="J896" s="170"/>
    </row>
    <row r="897">
      <c r="H897" s="224"/>
      <c r="I897" s="163"/>
      <c r="J897" s="170"/>
    </row>
    <row r="898">
      <c r="H898" s="224"/>
      <c r="I898" s="163"/>
      <c r="J898" s="170"/>
    </row>
    <row r="899">
      <c r="H899" s="224"/>
      <c r="I899" s="163"/>
      <c r="J899" s="170"/>
    </row>
    <row r="900">
      <c r="H900" s="224"/>
      <c r="I900" s="163"/>
      <c r="J900" s="170"/>
    </row>
    <row r="901">
      <c r="H901" s="224"/>
      <c r="I901" s="163"/>
      <c r="J901" s="170"/>
    </row>
    <row r="902">
      <c r="H902" s="224"/>
      <c r="I902" s="163"/>
      <c r="J902" s="170"/>
    </row>
    <row r="903">
      <c r="H903" s="224"/>
      <c r="I903" s="163"/>
      <c r="J903" s="170"/>
    </row>
    <row r="904">
      <c r="H904" s="224"/>
      <c r="I904" s="163"/>
      <c r="J904" s="170"/>
    </row>
    <row r="905">
      <c r="H905" s="224"/>
      <c r="I905" s="163"/>
      <c r="J905" s="170"/>
    </row>
    <row r="906">
      <c r="H906" s="224"/>
      <c r="I906" s="163"/>
      <c r="J906" s="170"/>
    </row>
    <row r="907">
      <c r="H907" s="224"/>
      <c r="I907" s="163"/>
      <c r="J907" s="170"/>
    </row>
    <row r="908">
      <c r="H908" s="224"/>
      <c r="I908" s="163"/>
      <c r="J908" s="170"/>
    </row>
    <row r="909">
      <c r="H909" s="224"/>
      <c r="I909" s="163"/>
      <c r="J909" s="170"/>
    </row>
    <row r="910">
      <c r="H910" s="224"/>
      <c r="I910" s="163"/>
      <c r="J910" s="170"/>
    </row>
    <row r="911">
      <c r="H911" s="224"/>
      <c r="I911" s="163"/>
      <c r="J911" s="170"/>
    </row>
    <row r="912">
      <c r="H912" s="224"/>
      <c r="I912" s="163"/>
      <c r="J912" s="170"/>
    </row>
    <row r="913">
      <c r="H913" s="224"/>
      <c r="I913" s="163"/>
      <c r="J913" s="170"/>
    </row>
    <row r="914">
      <c r="H914" s="224"/>
      <c r="I914" s="163"/>
      <c r="J914" s="170"/>
    </row>
    <row r="915">
      <c r="H915" s="224"/>
      <c r="I915" s="163"/>
      <c r="J915" s="170"/>
    </row>
    <row r="916">
      <c r="H916" s="224"/>
      <c r="I916" s="163"/>
      <c r="J916" s="170"/>
    </row>
    <row r="917">
      <c r="H917" s="224"/>
      <c r="I917" s="163"/>
      <c r="J917" s="170"/>
    </row>
    <row r="918">
      <c r="H918" s="224"/>
      <c r="I918" s="163"/>
      <c r="J918" s="170"/>
    </row>
    <row r="919">
      <c r="H919" s="224"/>
      <c r="I919" s="163"/>
      <c r="J919" s="170"/>
    </row>
    <row r="920">
      <c r="H920" s="224"/>
      <c r="I920" s="163"/>
      <c r="J920" s="170"/>
    </row>
    <row r="921">
      <c r="H921" s="224"/>
      <c r="I921" s="163"/>
      <c r="J921" s="170"/>
    </row>
    <row r="922">
      <c r="H922" s="224"/>
      <c r="I922" s="163"/>
      <c r="J922" s="170"/>
    </row>
    <row r="923">
      <c r="H923" s="224"/>
      <c r="I923" s="163"/>
      <c r="J923" s="170"/>
    </row>
    <row r="924">
      <c r="H924" s="224"/>
      <c r="I924" s="163"/>
      <c r="J924" s="170"/>
    </row>
    <row r="925">
      <c r="H925" s="224"/>
      <c r="I925" s="163"/>
      <c r="J925" s="170"/>
    </row>
    <row r="926">
      <c r="H926" s="224"/>
      <c r="I926" s="163"/>
      <c r="J926" s="170"/>
    </row>
    <row r="927">
      <c r="H927" s="224"/>
      <c r="I927" s="163"/>
      <c r="J927" s="170"/>
    </row>
    <row r="928">
      <c r="H928" s="224"/>
      <c r="I928" s="163"/>
      <c r="J928" s="170"/>
    </row>
    <row r="929">
      <c r="H929" s="224"/>
      <c r="I929" s="163"/>
      <c r="J929" s="170"/>
    </row>
    <row r="930">
      <c r="H930" s="224"/>
      <c r="I930" s="163"/>
      <c r="J930" s="170"/>
    </row>
    <row r="931">
      <c r="H931" s="224"/>
      <c r="I931" s="163"/>
      <c r="J931" s="170"/>
    </row>
    <row r="932">
      <c r="H932" s="224"/>
      <c r="I932" s="163"/>
      <c r="J932" s="170"/>
    </row>
    <row r="933">
      <c r="H933" s="224"/>
      <c r="I933" s="163"/>
      <c r="J933" s="170"/>
    </row>
    <row r="934">
      <c r="H934" s="224"/>
      <c r="I934" s="163"/>
      <c r="J934" s="170"/>
    </row>
    <row r="935">
      <c r="H935" s="224"/>
      <c r="I935" s="163"/>
      <c r="J935" s="170"/>
    </row>
    <row r="936">
      <c r="H936" s="224"/>
      <c r="I936" s="163"/>
      <c r="J936" s="170"/>
    </row>
    <row r="937">
      <c r="H937" s="224"/>
      <c r="I937" s="163"/>
      <c r="J937" s="170"/>
    </row>
    <row r="938">
      <c r="H938" s="224"/>
      <c r="I938" s="163"/>
      <c r="J938" s="170"/>
    </row>
    <row r="939">
      <c r="H939" s="224"/>
      <c r="I939" s="163"/>
      <c r="J939" s="170"/>
    </row>
    <row r="940">
      <c r="H940" s="224"/>
      <c r="I940" s="163"/>
      <c r="J940" s="170"/>
    </row>
    <row r="941">
      <c r="H941" s="224"/>
      <c r="I941" s="163"/>
      <c r="J941" s="170"/>
    </row>
    <row r="942">
      <c r="H942" s="224"/>
      <c r="I942" s="163"/>
      <c r="J942" s="170"/>
    </row>
    <row r="943">
      <c r="H943" s="224"/>
      <c r="I943" s="163"/>
      <c r="J943" s="170"/>
    </row>
    <row r="944">
      <c r="H944" s="224"/>
      <c r="I944" s="163"/>
      <c r="J944" s="170"/>
    </row>
    <row r="945">
      <c r="H945" s="224"/>
      <c r="I945" s="163"/>
      <c r="J945" s="170"/>
    </row>
    <row r="946">
      <c r="H946" s="224"/>
      <c r="I946" s="163"/>
      <c r="J946" s="170"/>
    </row>
    <row r="947">
      <c r="H947" s="224"/>
      <c r="I947" s="163"/>
      <c r="J947" s="170"/>
    </row>
    <row r="948">
      <c r="H948" s="224"/>
      <c r="I948" s="163"/>
      <c r="J948" s="170"/>
    </row>
    <row r="949">
      <c r="H949" s="224"/>
      <c r="I949" s="163"/>
      <c r="J949" s="170"/>
    </row>
    <row r="950">
      <c r="H950" s="224"/>
      <c r="I950" s="163"/>
      <c r="J950" s="170"/>
    </row>
    <row r="951">
      <c r="H951" s="224"/>
      <c r="I951" s="163"/>
      <c r="J951" s="170"/>
    </row>
    <row r="952">
      <c r="H952" s="224"/>
      <c r="I952" s="163"/>
      <c r="J952" s="170"/>
    </row>
    <row r="953">
      <c r="H953" s="224"/>
      <c r="I953" s="163"/>
      <c r="J953" s="170"/>
    </row>
    <row r="954">
      <c r="H954" s="224"/>
      <c r="I954" s="163"/>
      <c r="J954" s="170"/>
    </row>
    <row r="955">
      <c r="H955" s="224"/>
      <c r="I955" s="163"/>
      <c r="J955" s="170"/>
    </row>
    <row r="956">
      <c r="H956" s="224"/>
      <c r="I956" s="163"/>
      <c r="J956" s="170"/>
    </row>
    <row r="957">
      <c r="H957" s="224"/>
      <c r="I957" s="163"/>
      <c r="J957" s="170"/>
    </row>
    <row r="958">
      <c r="H958" s="224"/>
      <c r="I958" s="163"/>
      <c r="J958" s="170"/>
    </row>
    <row r="959">
      <c r="H959" s="224"/>
      <c r="I959" s="163"/>
      <c r="J959" s="170"/>
    </row>
    <row r="960">
      <c r="H960" s="224"/>
      <c r="I960" s="163"/>
      <c r="J960" s="170"/>
    </row>
    <row r="961">
      <c r="H961" s="224"/>
      <c r="I961" s="163"/>
      <c r="J961" s="170"/>
    </row>
    <row r="962">
      <c r="H962" s="224"/>
      <c r="I962" s="163"/>
      <c r="J962" s="170"/>
    </row>
    <row r="963">
      <c r="H963" s="224"/>
      <c r="I963" s="163"/>
      <c r="J963" s="170"/>
    </row>
    <row r="964">
      <c r="H964" s="224"/>
      <c r="I964" s="163"/>
      <c r="J964" s="170"/>
    </row>
    <row r="965">
      <c r="H965" s="224"/>
      <c r="I965" s="163"/>
      <c r="J965" s="170"/>
    </row>
    <row r="966">
      <c r="H966" s="224"/>
      <c r="I966" s="163"/>
      <c r="J966" s="170"/>
    </row>
    <row r="967">
      <c r="H967" s="224"/>
      <c r="I967" s="163"/>
      <c r="J967" s="170"/>
    </row>
    <row r="968">
      <c r="H968" s="224"/>
      <c r="I968" s="163"/>
      <c r="J968" s="170"/>
    </row>
    <row r="969">
      <c r="H969" s="224"/>
      <c r="I969" s="163"/>
      <c r="J969" s="170"/>
    </row>
    <row r="970">
      <c r="H970" s="224"/>
      <c r="I970" s="163"/>
      <c r="J970" s="170"/>
    </row>
    <row r="971">
      <c r="H971" s="224"/>
      <c r="I971" s="163"/>
      <c r="J971" s="170"/>
    </row>
    <row r="972">
      <c r="H972" s="224"/>
      <c r="I972" s="163"/>
      <c r="J972" s="170"/>
    </row>
    <row r="973">
      <c r="H973" s="224"/>
      <c r="I973" s="163"/>
      <c r="J973" s="170"/>
    </row>
    <row r="974">
      <c r="H974" s="224"/>
      <c r="I974" s="163"/>
      <c r="J974" s="170"/>
    </row>
    <row r="975">
      <c r="H975" s="224"/>
      <c r="I975" s="163"/>
      <c r="J975" s="170"/>
    </row>
    <row r="976">
      <c r="H976" s="224"/>
      <c r="I976" s="163"/>
      <c r="J976" s="170"/>
    </row>
    <row r="977">
      <c r="H977" s="224"/>
      <c r="I977" s="163"/>
      <c r="J977" s="170"/>
    </row>
    <row r="978">
      <c r="H978" s="224"/>
      <c r="I978" s="163"/>
      <c r="J978" s="170"/>
    </row>
    <row r="979">
      <c r="H979" s="224"/>
      <c r="I979" s="163"/>
      <c r="J979" s="170"/>
    </row>
    <row r="980">
      <c r="H980" s="224"/>
      <c r="I980" s="163"/>
      <c r="J980" s="170"/>
    </row>
    <row r="981">
      <c r="H981" s="224"/>
      <c r="I981" s="163"/>
      <c r="J981" s="170"/>
    </row>
    <row r="982">
      <c r="H982" s="224"/>
      <c r="I982" s="163"/>
      <c r="J982" s="170"/>
    </row>
    <row r="983">
      <c r="H983" s="224"/>
      <c r="I983" s="163"/>
      <c r="J983" s="170"/>
    </row>
    <row r="984">
      <c r="H984" s="224"/>
      <c r="I984" s="163"/>
      <c r="J984" s="170"/>
    </row>
    <row r="985">
      <c r="H985" s="224"/>
      <c r="I985" s="163"/>
      <c r="J985" s="170"/>
    </row>
    <row r="986">
      <c r="H986" s="224"/>
      <c r="I986" s="163"/>
      <c r="J986" s="170"/>
    </row>
    <row r="987">
      <c r="H987" s="224"/>
      <c r="I987" s="163"/>
      <c r="J987" s="170"/>
    </row>
    <row r="988">
      <c r="H988" s="224"/>
      <c r="I988" s="163"/>
      <c r="J988" s="170"/>
    </row>
    <row r="989">
      <c r="H989" s="224"/>
      <c r="I989" s="163"/>
      <c r="J989" s="170"/>
    </row>
    <row r="990">
      <c r="H990" s="224"/>
      <c r="I990" s="163"/>
      <c r="J990" s="170"/>
    </row>
    <row r="991">
      <c r="H991" s="224"/>
      <c r="I991" s="163"/>
      <c r="J991" s="170"/>
    </row>
    <row r="992">
      <c r="H992" s="224"/>
      <c r="I992" s="163"/>
      <c r="J992" s="170"/>
    </row>
    <row r="993">
      <c r="H993" s="224"/>
      <c r="I993" s="163"/>
      <c r="J993" s="170"/>
    </row>
    <row r="994">
      <c r="H994" s="224"/>
      <c r="I994" s="163"/>
      <c r="J994" s="170"/>
    </row>
    <row r="995">
      <c r="H995" s="224"/>
      <c r="I995" s="163"/>
      <c r="J995" s="170"/>
    </row>
    <row r="996">
      <c r="H996" s="224"/>
      <c r="I996" s="163"/>
      <c r="J996" s="170"/>
    </row>
    <row r="997">
      <c r="H997" s="224"/>
      <c r="I997" s="163"/>
      <c r="J997" s="170"/>
    </row>
    <row r="998">
      <c r="H998" s="224"/>
      <c r="I998" s="163"/>
      <c r="J998" s="170"/>
    </row>
    <row r="999">
      <c r="H999" s="224"/>
      <c r="I999" s="163"/>
      <c r="J999" s="170"/>
    </row>
    <row r="1000">
      <c r="H1000" s="224"/>
      <c r="I1000" s="163"/>
      <c r="J1000" s="170"/>
    </row>
  </sheetData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</cols>
  <sheetData>
    <row r="1">
      <c r="A1" s="108" t="s">
        <v>0</v>
      </c>
      <c r="B1" s="109" t="s">
        <v>569</v>
      </c>
      <c r="C1" s="110"/>
      <c r="D1" s="110"/>
      <c r="E1" s="110"/>
    </row>
    <row r="2">
      <c r="A2" s="143" t="s">
        <v>2</v>
      </c>
      <c r="B2" s="144" t="s">
        <v>570</v>
      </c>
      <c r="C2" s="34" t="s">
        <v>92</v>
      </c>
      <c r="D2" s="34" t="s">
        <v>54</v>
      </c>
    </row>
    <row r="3">
      <c r="A3" s="6" t="s">
        <v>489</v>
      </c>
      <c r="D3" s="99"/>
    </row>
    <row r="4">
      <c r="A4" s="6" t="s">
        <v>6</v>
      </c>
      <c r="D4" s="99"/>
    </row>
    <row r="5">
      <c r="D5" s="99"/>
    </row>
    <row r="8">
      <c r="D8" s="34"/>
    </row>
    <row r="14">
      <c r="A14" s="6" t="s">
        <v>92</v>
      </c>
    </row>
    <row r="15">
      <c r="A15" s="6" t="s">
        <v>491</v>
      </c>
    </row>
    <row r="16">
      <c r="A16" s="145" t="s">
        <v>404</v>
      </c>
      <c r="B16" s="142">
        <f>SUM(B3:B15)</f>
        <v>0</v>
      </c>
      <c r="C16" s="45"/>
    </row>
    <row r="17">
      <c r="A17" s="6" t="s">
        <v>492</v>
      </c>
      <c r="B17" s="46">
        <f>SUM(C3:C15)-D116</f>
        <v>0</v>
      </c>
    </row>
    <row r="18">
      <c r="A18" s="6" t="s">
        <v>93</v>
      </c>
    </row>
    <row r="19">
      <c r="A19" s="53" t="s">
        <v>493</v>
      </c>
    </row>
    <row r="20">
      <c r="A20" s="6" t="s">
        <v>494</v>
      </c>
    </row>
    <row r="21">
      <c r="A21" s="6" t="s">
        <v>496</v>
      </c>
    </row>
    <row r="22">
      <c r="A22" s="6" t="s">
        <v>497</v>
      </c>
    </row>
    <row r="23">
      <c r="A23" s="6" t="s">
        <v>498</v>
      </c>
    </row>
    <row r="24">
      <c r="A24" s="6" t="s">
        <v>202</v>
      </c>
      <c r="C24" s="114"/>
    </row>
    <row r="25">
      <c r="A25" s="6" t="s">
        <v>573</v>
      </c>
      <c r="C25" s="114"/>
    </row>
    <row r="28">
      <c r="B28" s="145" t="s">
        <v>283</v>
      </c>
      <c r="C28" s="142">
        <f>SUM(B20:B27)</f>
        <v>0</v>
      </c>
      <c r="D28" s="34" t="s">
        <v>499</v>
      </c>
      <c r="E28" s="146">
        <f>15000-C28</f>
        <v>15000</v>
      </c>
    </row>
    <row r="29">
      <c r="A29" s="53" t="s">
        <v>224</v>
      </c>
    </row>
    <row r="30">
      <c r="C30" s="99"/>
    </row>
    <row r="31">
      <c r="C31" s="114"/>
    </row>
    <row r="35">
      <c r="C35" s="99"/>
    </row>
    <row r="36">
      <c r="C36" s="99"/>
    </row>
    <row r="37">
      <c r="C37" s="99"/>
    </row>
    <row r="39">
      <c r="C39" s="34"/>
    </row>
    <row r="40">
      <c r="C40" s="34"/>
    </row>
    <row r="44">
      <c r="C44" s="34"/>
    </row>
    <row r="60">
      <c r="B60" s="145" t="s">
        <v>283</v>
      </c>
      <c r="C60" s="142">
        <f>SUM(B31:B59)</f>
        <v>0</v>
      </c>
      <c r="D60" s="34" t="s">
        <v>504</v>
      </c>
      <c r="E60" s="146">
        <f>5000-C60</f>
        <v>5000</v>
      </c>
    </row>
    <row r="61">
      <c r="A61" s="53" t="s">
        <v>505</v>
      </c>
    </row>
    <row r="62">
      <c r="C62" s="114"/>
    </row>
    <row r="63">
      <c r="C63" s="114"/>
    </row>
    <row r="64">
      <c r="C64" s="114"/>
    </row>
    <row r="65">
      <c r="C65" s="114"/>
    </row>
    <row r="66">
      <c r="C66" s="114"/>
    </row>
    <row r="72">
      <c r="C72" s="99"/>
    </row>
    <row r="73">
      <c r="C73" s="99"/>
    </row>
    <row r="76">
      <c r="C76" s="34"/>
    </row>
    <row r="77">
      <c r="C77" s="34"/>
    </row>
    <row r="89">
      <c r="B89" s="145" t="s">
        <v>283</v>
      </c>
      <c r="C89" s="142">
        <f>SUM(B62:B88)</f>
        <v>0</v>
      </c>
      <c r="D89" s="34" t="s">
        <v>499</v>
      </c>
      <c r="E89" s="146">
        <f>15000-C89</f>
        <v>15000</v>
      </c>
    </row>
    <row r="90">
      <c r="A90" s="53" t="s">
        <v>514</v>
      </c>
    </row>
    <row r="92">
      <c r="C92" s="114"/>
    </row>
    <row r="93">
      <c r="C93" s="114"/>
    </row>
    <row r="95">
      <c r="C95" s="34"/>
    </row>
    <row r="96">
      <c r="C96" s="34"/>
    </row>
    <row r="106">
      <c r="C106" s="114"/>
    </row>
    <row r="107">
      <c r="C107" s="114"/>
    </row>
    <row r="115">
      <c r="B115" s="145" t="s">
        <v>283</v>
      </c>
      <c r="C115" s="142">
        <f>SUM(B91:B114)</f>
        <v>0</v>
      </c>
      <c r="D115" s="34" t="s">
        <v>504</v>
      </c>
      <c r="E115" s="146">
        <f>5000-C115</f>
        <v>5000</v>
      </c>
    </row>
    <row r="116">
      <c r="A116" s="53" t="s">
        <v>515</v>
      </c>
      <c r="B116" s="44">
        <f>SUM(B17:B115)</f>
        <v>0</v>
      </c>
      <c r="C116" s="147" t="s">
        <v>516</v>
      </c>
      <c r="D116" s="45">
        <f>SUM(D19:D115)</f>
        <v>0</v>
      </c>
    </row>
    <row r="117">
      <c r="C117" s="79" t="s">
        <v>517</v>
      </c>
      <c r="D117" s="45">
        <f>B17</f>
        <v>0</v>
      </c>
    </row>
    <row r="118">
      <c r="C118" s="79" t="s">
        <v>518</v>
      </c>
      <c r="D118" s="46">
        <f>D116+D117</f>
        <v>0</v>
      </c>
    </row>
    <row r="119">
      <c r="C119" s="79" t="s">
        <v>519</v>
      </c>
      <c r="D119" s="46">
        <f>B116-D118</f>
        <v>0</v>
      </c>
    </row>
    <row r="120">
      <c r="D120" s="154">
        <f>sum(D118:D119)</f>
        <v>0</v>
      </c>
    </row>
    <row r="121">
      <c r="A121" s="145" t="s">
        <v>49</v>
      </c>
      <c r="B121" s="142">
        <f>B16-B116</f>
        <v>0</v>
      </c>
    </row>
    <row r="122">
      <c r="C122" s="46">
        <f>B121-C121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2">
      <c r="A2" s="225" t="s">
        <v>877</v>
      </c>
    </row>
    <row r="5">
      <c r="A5" s="226" t="s">
        <v>878</v>
      </c>
      <c r="B5" s="30" t="s">
        <v>216</v>
      </c>
      <c r="C5" s="30" t="s">
        <v>10</v>
      </c>
      <c r="D5" s="30" t="s">
        <v>202</v>
      </c>
    </row>
    <row r="6">
      <c r="A6" s="30" t="s">
        <v>1</v>
      </c>
      <c r="B6" s="227">
        <v>9515.0</v>
      </c>
      <c r="C6" s="227">
        <v>8290.0</v>
      </c>
      <c r="D6" s="227">
        <v>2950.0</v>
      </c>
    </row>
    <row r="7">
      <c r="A7" s="30" t="s">
        <v>51</v>
      </c>
      <c r="B7" s="227">
        <v>26090.0</v>
      </c>
      <c r="C7" s="227">
        <v>11420.0</v>
      </c>
      <c r="D7" s="227">
        <v>1920.0</v>
      </c>
    </row>
    <row r="8">
      <c r="A8" s="30" t="s">
        <v>879</v>
      </c>
      <c r="B8" s="228">
        <v>21820.0</v>
      </c>
      <c r="C8" s="228">
        <v>29465.0</v>
      </c>
      <c r="D8" s="228">
        <v>3910.0</v>
      </c>
    </row>
    <row r="9">
      <c r="A9" s="30" t="s">
        <v>161</v>
      </c>
      <c r="B9" s="228">
        <v>26260.0</v>
      </c>
      <c r="C9" s="228">
        <v>6435.0</v>
      </c>
      <c r="D9" s="228">
        <v>150.0</v>
      </c>
    </row>
    <row r="10">
      <c r="A10" s="30" t="s">
        <v>259</v>
      </c>
    </row>
    <row r="11">
      <c r="A11" s="30" t="s">
        <v>374</v>
      </c>
    </row>
    <row r="12">
      <c r="A12" s="30" t="s">
        <v>446</v>
      </c>
    </row>
    <row r="13">
      <c r="A13" s="30" t="s">
        <v>880</v>
      </c>
    </row>
    <row r="14">
      <c r="A14" s="30" t="s">
        <v>881</v>
      </c>
    </row>
    <row r="15">
      <c r="A15" s="30" t="s">
        <v>615</v>
      </c>
    </row>
    <row r="16">
      <c r="A16" s="30" t="s">
        <v>882</v>
      </c>
    </row>
    <row r="17">
      <c r="A17" s="30" t="s">
        <v>883</v>
      </c>
    </row>
    <row r="18">
      <c r="A18" s="226"/>
      <c r="B18" s="229">
        <f t="shared" ref="B18:D18" si="1">SUM(B6:B17)</f>
        <v>83685</v>
      </c>
      <c r="C18" s="229">
        <f t="shared" si="1"/>
        <v>55610</v>
      </c>
      <c r="D18" s="229">
        <f t="shared" si="1"/>
        <v>8930</v>
      </c>
    </row>
    <row r="19">
      <c r="A19" s="226"/>
    </row>
    <row r="20">
      <c r="A20" s="226"/>
    </row>
    <row r="21">
      <c r="A21" s="226"/>
    </row>
    <row r="25">
      <c r="A25" s="230" t="s">
        <v>884</v>
      </c>
      <c r="C25" s="231" t="s">
        <v>885</v>
      </c>
    </row>
    <row r="26">
      <c r="A26" s="6" t="s">
        <v>560</v>
      </c>
      <c r="B26" s="6">
        <v>300.0</v>
      </c>
      <c r="C26" s="232" t="s">
        <v>886</v>
      </c>
      <c r="D26" s="6">
        <v>10000.0</v>
      </c>
    </row>
    <row r="27">
      <c r="A27" s="6" t="s">
        <v>887</v>
      </c>
      <c r="B27" s="6">
        <v>165.0</v>
      </c>
      <c r="D27" s="6">
        <v>230.0</v>
      </c>
    </row>
    <row r="28">
      <c r="A28" s="6" t="s">
        <v>888</v>
      </c>
      <c r="B28" s="102">
        <v>15000.0</v>
      </c>
    </row>
    <row r="29">
      <c r="A29" s="6" t="s">
        <v>563</v>
      </c>
      <c r="B29" s="6">
        <v>500.0</v>
      </c>
    </row>
    <row r="30">
      <c r="A30" s="6" t="s">
        <v>889</v>
      </c>
      <c r="B30" s="102">
        <v>10000.0</v>
      </c>
    </row>
    <row r="31">
      <c r="A31" s="6" t="s">
        <v>579</v>
      </c>
      <c r="B31" s="6">
        <v>180.0</v>
      </c>
    </row>
    <row r="32">
      <c r="A32" s="6" t="s">
        <v>890</v>
      </c>
      <c r="B32" s="6">
        <v>2000.0</v>
      </c>
    </row>
    <row r="33">
      <c r="A33" s="6" t="s">
        <v>891</v>
      </c>
      <c r="B33" s="6">
        <v>120.0</v>
      </c>
      <c r="C33" s="99"/>
    </row>
    <row r="34">
      <c r="A34" s="6" t="s">
        <v>892</v>
      </c>
      <c r="B34" s="6">
        <v>1000.0</v>
      </c>
    </row>
    <row r="35">
      <c r="A35" s="6" t="s">
        <v>893</v>
      </c>
      <c r="B35" s="6">
        <v>1655.0</v>
      </c>
    </row>
    <row r="36">
      <c r="A36" s="6" t="s">
        <v>887</v>
      </c>
      <c r="B36" s="6">
        <v>1920.0</v>
      </c>
    </row>
    <row r="37">
      <c r="A37" s="6" t="s">
        <v>894</v>
      </c>
      <c r="B37" s="6">
        <v>3000.0</v>
      </c>
    </row>
    <row r="38">
      <c r="A38" s="6" t="s">
        <v>227</v>
      </c>
      <c r="B38" s="6">
        <v>2330.0</v>
      </c>
    </row>
    <row r="39">
      <c r="A39" s="232" t="s">
        <v>895</v>
      </c>
      <c r="B39" s="6">
        <v>800.0</v>
      </c>
    </row>
    <row r="40">
      <c r="A40" s="6" t="s">
        <v>896</v>
      </c>
      <c r="B40" s="6">
        <v>141.0</v>
      </c>
    </row>
    <row r="42">
      <c r="A42" s="53" t="s">
        <v>283</v>
      </c>
      <c r="B42" s="44">
        <f>SUM(B26:B41)</f>
        <v>39111</v>
      </c>
      <c r="D42" s="142">
        <f>SUM(D26:D41)</f>
        <v>10230</v>
      </c>
    </row>
    <row r="44">
      <c r="B44" s="46">
        <f>B42-15000-10000-D42</f>
        <v>3881</v>
      </c>
    </row>
    <row r="51">
      <c r="A51" s="6" t="s">
        <v>149</v>
      </c>
      <c r="B51" s="6">
        <v>250.0</v>
      </c>
      <c r="C51" s="6">
        <v>1.0</v>
      </c>
    </row>
    <row r="52">
      <c r="A52" s="6" t="s">
        <v>740</v>
      </c>
      <c r="B52" s="6">
        <v>280.0</v>
      </c>
    </row>
    <row r="53">
      <c r="A53" s="6" t="s">
        <v>741</v>
      </c>
      <c r="B53" s="6">
        <v>90.0</v>
      </c>
    </row>
    <row r="54">
      <c r="A54" s="6" t="s">
        <v>742</v>
      </c>
      <c r="B54" s="6">
        <v>40.0</v>
      </c>
    </row>
    <row r="55">
      <c r="A55" s="6" t="s">
        <v>743</v>
      </c>
      <c r="B55" s="6">
        <v>65.0</v>
      </c>
      <c r="C55" s="6">
        <v>2.0</v>
      </c>
    </row>
    <row r="56">
      <c r="A56" s="6" t="s">
        <v>744</v>
      </c>
      <c r="B56" s="6">
        <v>580.0</v>
      </c>
    </row>
    <row r="57">
      <c r="A57" s="6" t="s">
        <v>116</v>
      </c>
      <c r="B57" s="6">
        <v>50.0</v>
      </c>
    </row>
  </sheetData>
  <mergeCells count="3">
    <mergeCell ref="A2:D3"/>
    <mergeCell ref="A25:B25"/>
    <mergeCell ref="C25:D25"/>
  </mergeCells>
  <drawing r:id="rId1"/>
</worksheet>
</file>